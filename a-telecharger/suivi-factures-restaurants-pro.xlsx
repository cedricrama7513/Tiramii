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nthèse" sheetId="1" state="visible" r:id="rId1"/>
    <sheet name="My French factory" sheetId="2" state="visible" r:id="rId2"/>
    <sheet name="My french Cantine" sheetId="3" state="visible" r:id="rId3"/>
    <sheet name="Mode emploi" sheetId="4" state="visible" r:id="rId4"/>
  </sheets>
  <definedNames/>
  <calcPr calcId="124519" calcMode="auto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</font>
    <font>
      <b val="1"/>
    </font>
    <font>
      <b val="1"/>
      <color rgb="00B00020"/>
    </font>
  </fonts>
  <fills count="6">
    <fill>
      <patternFill/>
    </fill>
    <fill>
      <patternFill patternType="gray125"/>
    </fill>
    <fill>
      <patternFill patternType="solid">
        <fgColor rgb="003D2E24"/>
      </patternFill>
    </fill>
    <fill>
      <patternFill patternType="solid">
        <fgColor rgb="001B5E20"/>
      </patternFill>
    </fill>
    <fill>
      <patternFill patternType="solid">
        <fgColor rgb="00FFFDE7"/>
      </patternFill>
    </fill>
    <fill>
      <patternFill patternType="solid">
        <fgColor rgb="00E8F5E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4" fontId="0" fillId="0" borderId="0" pivotButton="0" quotePrefix="0" xfId="0"/>
    <xf numFmtId="0" fontId="3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4" fontId="0" fillId="4" borderId="0" pivotButton="0" quotePrefix="0" xfId="0"/>
    <xf numFmtId="4" fontId="2" fillId="5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Restaurant</t>
        </is>
      </c>
      <c r="B1" s="1" t="inlineStr">
        <is>
          <t>Solde crédit actuel (€)</t>
        </is>
      </c>
      <c r="C1" s="1" t="inlineStr">
        <is>
          <t>Alerte solde</t>
        </is>
      </c>
      <c r="D1" s="1" t="inlineStr">
        <is>
          <t>Encours impayé (€)</t>
        </is>
      </c>
      <c r="E1" s="1" t="inlineStr">
        <is>
          <t>Alerte encours</t>
        </is>
      </c>
    </row>
    <row r="2">
      <c r="A2" t="inlineStr">
        <is>
          <t>My French factory</t>
        </is>
      </c>
      <c r="B2" s="2">
        <f>'My French factory'!E13</f>
        <v/>
      </c>
      <c r="C2" s="3">
        <f>SI(B2&lt;=0;"⚠ RECHARGER 500 €";"OK")</f>
        <v/>
      </c>
      <c r="D2">
        <f>SOMME('My French factory'!$C$2:$C$120)-SOMME.SI('My French factory'!$C$2:$C$120;'My French factory'!$G$2:$G$120;"Oui")</f>
        <v/>
      </c>
      <c r="E2">
        <f>SI(D2&gt;500;"⚠ RELANCER";"OK")</f>
        <v/>
      </c>
    </row>
    <row r="3">
      <c r="A3" t="inlineStr">
        <is>
          <t>My french Cantine</t>
        </is>
      </c>
      <c r="B3" s="2">
        <f>'My french Cantine'!E13</f>
        <v/>
      </c>
      <c r="C3" s="3">
        <f>SI(B3&lt;=0;"⚠ RECHARGER 500 €";"OK")</f>
        <v/>
      </c>
      <c r="D3">
        <f>SOMME('My french Cantine'!$C$2:$C$120)-SOMME.SI('My french Cantine'!$C$2:$C$120;'My french Cantine'!$G$2:$G$120;"Oui")</f>
        <v/>
      </c>
      <c r="E3">
        <f>SI(D3&gt;500;"⚠ RELANCER";"OK")</f>
        <v/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8" customWidth="1" min="2" max="2"/>
    <col width="11" customWidth="1" min="3" max="3"/>
    <col width="14" customWidth="1" min="4" max="4"/>
    <col width="12" customWidth="1" min="5" max="5"/>
    <col width="28" customWidth="1" min="6" max="6"/>
    <col width="10" customWidth="1" min="7" max="7"/>
    <col width="26" customWidth="1" min="8" max="8"/>
    <col width="14" customWidth="1" min="9" max="9"/>
    <col width="26" customWidth="1" min="10" max="10"/>
    <col width="14" customWidth="1" min="11" max="11"/>
    <col width="12" customWidth="1" min="12" max="12"/>
  </cols>
  <sheetData>
    <row r="1">
      <c r="A1" s="4" t="inlineStr">
        <is>
          <t>Date facture</t>
        </is>
      </c>
      <c r="B1" s="4" t="inlineStr">
        <is>
          <t>N° facture</t>
        </is>
      </c>
      <c r="C1" s="4" t="inlineStr">
        <is>
          <t>Montant facture (€)</t>
        </is>
      </c>
      <c r="D1" s="5" t="inlineStr">
        <is>
          <t>Versement (€)</t>
        </is>
      </c>
      <c r="E1" s="5" t="inlineStr">
        <is>
          <t>Solde (€)</t>
        </is>
      </c>
      <c r="F1" s="5" t="inlineStr">
        <is>
          <t>Alerte solde</t>
        </is>
      </c>
      <c r="G1" s="4" t="inlineStr">
        <is>
          <t>Payé ? (Oui / Non)</t>
        </is>
      </c>
      <c r="H1" s="4" t="inlineStr">
        <is>
          <t>Alerte facture &gt; 500 €</t>
        </is>
      </c>
      <c r="I1" s="4" t="inlineStr">
        <is>
          <t>Encours impayé (€)</t>
        </is>
      </c>
      <c r="J1" s="4" t="inlineStr">
        <is>
          <t>Alerte encours</t>
        </is>
      </c>
      <c r="K1" s="4" t="inlineStr">
        <is>
          <t>Message envoyé ?</t>
        </is>
      </c>
      <c r="L1" s="4" t="inlineStr">
        <is>
          <t>Date relance</t>
        </is>
      </c>
    </row>
    <row r="2">
      <c r="A2" t="inlineStr">
        <is>
          <t>2026-01-01</t>
        </is>
      </c>
      <c r="B2" t="inlineStr">
        <is>
          <t>FAC-MYFRENCH-2026-01</t>
        </is>
      </c>
      <c r="C2" s="6" t="n">
        <v>0</v>
      </c>
      <c r="D2" s="6" t="n">
        <v>500</v>
      </c>
      <c r="E2" s="7">
        <f>SOMME($D$2:D2)-SOMME($C$2:C2)</f>
        <v/>
      </c>
      <c r="F2" s="3">
        <f>SI(E2&lt;=0;"⚠ SOLDE ÉPUISÉ — faire verser 500 €";"")</f>
        <v/>
      </c>
      <c r="G2" t="inlineStr">
        <is>
          <t>Non</t>
        </is>
      </c>
      <c r="H2" s="3">
        <f>SI(C2&gt;500;"⚠ Facture &gt; 500 € — à relancer";"")</f>
        <v/>
      </c>
      <c r="I2" s="2">
        <f>SOMME($C$2:$C$120)-SOMME.SI($C$2:$C$120;$G$2:$G$120;"Oui")</f>
        <v/>
      </c>
      <c r="J2" s="3">
        <f>SI(I2&gt;500;"⚠ ENVOYER MESSAGE PAIEMENT";"")</f>
        <v/>
      </c>
      <c r="K2" t="inlineStr">
        <is>
          <t>Non</t>
        </is>
      </c>
      <c r="L2" t="inlineStr"/>
    </row>
    <row r="3">
      <c r="A3" t="inlineStr">
        <is>
          <t>2026-02-01</t>
        </is>
      </c>
      <c r="B3" t="inlineStr">
        <is>
          <t>FAC-MYFRENCH-2026-02</t>
        </is>
      </c>
      <c r="C3" s="6" t="n">
        <v>0</v>
      </c>
      <c r="D3" s="6" t="n">
        <v>0</v>
      </c>
      <c r="E3" s="7">
        <f>SOMME($D$2:D3)-SOMME($C$2:C3)</f>
        <v/>
      </c>
      <c r="F3" s="3">
        <f>SI(E3&lt;=0;"⚠ SOLDE ÉPUISÉ — faire verser 500 €";"")</f>
        <v/>
      </c>
      <c r="G3" t="inlineStr">
        <is>
          <t>Non</t>
        </is>
      </c>
      <c r="H3" s="3">
        <f>SI(C3&gt;500;"⚠ Facture &gt; 500 € — à relancer";"")</f>
        <v/>
      </c>
      <c r="I3" s="2">
        <f>SOMME($C$2:$C$120)-SOMME.SI($C$2:$C$120;$G$2:$G$120;"Oui")</f>
        <v/>
      </c>
      <c r="J3" s="3">
        <f>SI(I3&gt;500;"⚠ ENVOYER MESSAGE PAIEMENT";"")</f>
        <v/>
      </c>
      <c r="K3" t="inlineStr">
        <is>
          <t>Non</t>
        </is>
      </c>
      <c r="L3" t="inlineStr"/>
    </row>
    <row r="4">
      <c r="A4" t="inlineStr">
        <is>
          <t>2026-03-01</t>
        </is>
      </c>
      <c r="B4" t="inlineStr">
        <is>
          <t>FAC-MYFRENCH-2026-03</t>
        </is>
      </c>
      <c r="C4" s="6" t="n">
        <v>0</v>
      </c>
      <c r="D4" s="6" t="n">
        <v>0</v>
      </c>
      <c r="E4" s="7">
        <f>SOMME($D$2:D4)-SOMME($C$2:C4)</f>
        <v/>
      </c>
      <c r="F4" s="3">
        <f>SI(E4&lt;=0;"⚠ SOLDE ÉPUISÉ — faire verser 500 €";"")</f>
        <v/>
      </c>
      <c r="G4" t="inlineStr">
        <is>
          <t>Non</t>
        </is>
      </c>
      <c r="H4" s="3">
        <f>SI(C4&gt;500;"⚠ Facture &gt; 500 € — à relancer";"")</f>
        <v/>
      </c>
      <c r="I4" s="2">
        <f>SOMME($C$2:$C$120)-SOMME.SI($C$2:$C$120;$G$2:$G$120;"Oui")</f>
        <v/>
      </c>
      <c r="J4" s="3">
        <f>SI(I4&gt;500;"⚠ ENVOYER MESSAGE PAIEMENT";"")</f>
        <v/>
      </c>
      <c r="K4" t="inlineStr">
        <is>
          <t>Non</t>
        </is>
      </c>
      <c r="L4" t="inlineStr"/>
    </row>
    <row r="5">
      <c r="A5" t="inlineStr">
        <is>
          <t>2026-04-01</t>
        </is>
      </c>
      <c r="B5" t="inlineStr">
        <is>
          <t>FAC-MYFRENCH-2026-04</t>
        </is>
      </c>
      <c r="C5" s="6" t="n">
        <v>0</v>
      </c>
      <c r="D5" s="6" t="n">
        <v>0</v>
      </c>
      <c r="E5" s="7">
        <f>SOMME($D$2:D5)-SOMME($C$2:C5)</f>
        <v/>
      </c>
      <c r="F5" s="3">
        <f>SI(E5&lt;=0;"⚠ SOLDE ÉPUISÉ — faire verser 500 €";"")</f>
        <v/>
      </c>
      <c r="G5" t="inlineStr">
        <is>
          <t>Non</t>
        </is>
      </c>
      <c r="H5" s="3">
        <f>SI(C5&gt;500;"⚠ Facture &gt; 500 € — à relancer";"")</f>
        <v/>
      </c>
      <c r="I5" s="2">
        <f>SOMME($C$2:$C$120)-SOMME.SI($C$2:$C$120;$G$2:$G$120;"Oui")</f>
        <v/>
      </c>
      <c r="J5" s="3">
        <f>SI(I5&gt;500;"⚠ ENVOYER MESSAGE PAIEMENT";"")</f>
        <v/>
      </c>
      <c r="K5" t="inlineStr">
        <is>
          <t>Non</t>
        </is>
      </c>
      <c r="L5" t="inlineStr"/>
    </row>
    <row r="6">
      <c r="A6" t="inlineStr">
        <is>
          <t>2026-05-01</t>
        </is>
      </c>
      <c r="B6" t="inlineStr">
        <is>
          <t>FAC-MYFRENCH-2026-05</t>
        </is>
      </c>
      <c r="C6" s="6" t="n">
        <v>0</v>
      </c>
      <c r="D6" s="6" t="n">
        <v>0</v>
      </c>
      <c r="E6" s="7">
        <f>SOMME($D$2:D6)-SOMME($C$2:C6)</f>
        <v/>
      </c>
      <c r="F6" s="3">
        <f>SI(E6&lt;=0;"⚠ SOLDE ÉPUISÉ — faire verser 500 €";"")</f>
        <v/>
      </c>
      <c r="G6" t="inlineStr">
        <is>
          <t>Non</t>
        </is>
      </c>
      <c r="H6" s="3">
        <f>SI(C6&gt;500;"⚠ Facture &gt; 500 € — à relancer";"")</f>
        <v/>
      </c>
      <c r="I6" s="2">
        <f>SOMME($C$2:$C$120)-SOMME.SI($C$2:$C$120;$G$2:$G$120;"Oui")</f>
        <v/>
      </c>
      <c r="J6" s="3">
        <f>SI(I6&gt;500;"⚠ ENVOYER MESSAGE PAIEMENT";"")</f>
        <v/>
      </c>
      <c r="K6" t="inlineStr">
        <is>
          <t>Non</t>
        </is>
      </c>
      <c r="L6" t="inlineStr"/>
    </row>
    <row r="7">
      <c r="A7" t="inlineStr">
        <is>
          <t>2026-06-01</t>
        </is>
      </c>
      <c r="B7" t="inlineStr">
        <is>
          <t>FAC-MYFRENCH-2026-06</t>
        </is>
      </c>
      <c r="C7" s="6" t="n">
        <v>0</v>
      </c>
      <c r="D7" s="6" t="n">
        <v>0</v>
      </c>
      <c r="E7" s="7">
        <f>SOMME($D$2:D7)-SOMME($C$2:C7)</f>
        <v/>
      </c>
      <c r="F7" s="3">
        <f>SI(E7&lt;=0;"⚠ SOLDE ÉPUISÉ — faire verser 500 €";"")</f>
        <v/>
      </c>
      <c r="G7" t="inlineStr">
        <is>
          <t>Non</t>
        </is>
      </c>
      <c r="H7" s="3">
        <f>SI(C7&gt;500;"⚠ Facture &gt; 500 € — à relancer";"")</f>
        <v/>
      </c>
      <c r="I7" s="2">
        <f>SOMME($C$2:$C$120)-SOMME.SI($C$2:$C$120;$G$2:$G$120;"Oui")</f>
        <v/>
      </c>
      <c r="J7" s="3">
        <f>SI(I7&gt;500;"⚠ ENVOYER MESSAGE PAIEMENT";"")</f>
        <v/>
      </c>
      <c r="K7" t="inlineStr">
        <is>
          <t>Non</t>
        </is>
      </c>
      <c r="L7" t="inlineStr"/>
    </row>
    <row r="8">
      <c r="A8" t="inlineStr">
        <is>
          <t>2026-07-01</t>
        </is>
      </c>
      <c r="B8" t="inlineStr">
        <is>
          <t>FAC-MYFRENCH-2026-07</t>
        </is>
      </c>
      <c r="C8" s="6" t="n">
        <v>0</v>
      </c>
      <c r="D8" s="6" t="n">
        <v>0</v>
      </c>
      <c r="E8" s="7">
        <f>SOMME($D$2:D8)-SOMME($C$2:C8)</f>
        <v/>
      </c>
      <c r="F8" s="3">
        <f>SI(E8&lt;=0;"⚠ SOLDE ÉPUISÉ — faire verser 500 €";"")</f>
        <v/>
      </c>
      <c r="G8" t="inlineStr">
        <is>
          <t>Non</t>
        </is>
      </c>
      <c r="H8" s="3">
        <f>SI(C8&gt;500;"⚠ Facture &gt; 500 € — à relancer";"")</f>
        <v/>
      </c>
      <c r="I8" s="2">
        <f>SOMME($C$2:$C$120)-SOMME.SI($C$2:$C$120;$G$2:$G$120;"Oui")</f>
        <v/>
      </c>
      <c r="J8" s="3">
        <f>SI(I8&gt;500;"⚠ ENVOYER MESSAGE PAIEMENT";"")</f>
        <v/>
      </c>
      <c r="K8" t="inlineStr">
        <is>
          <t>Non</t>
        </is>
      </c>
      <c r="L8" t="inlineStr"/>
    </row>
    <row r="9">
      <c r="A9" t="inlineStr">
        <is>
          <t>2026-08-01</t>
        </is>
      </c>
      <c r="B9" t="inlineStr">
        <is>
          <t>FAC-MYFRENCH-2026-08</t>
        </is>
      </c>
      <c r="C9" s="6" t="n">
        <v>0</v>
      </c>
      <c r="D9" s="6" t="n">
        <v>0</v>
      </c>
      <c r="E9" s="7">
        <f>SOMME($D$2:D9)-SOMME($C$2:C9)</f>
        <v/>
      </c>
      <c r="F9" s="3">
        <f>SI(E9&lt;=0;"⚠ SOLDE ÉPUISÉ — faire verser 500 €";"")</f>
        <v/>
      </c>
      <c r="G9" t="inlineStr">
        <is>
          <t>Non</t>
        </is>
      </c>
      <c r="H9" s="3">
        <f>SI(C9&gt;500;"⚠ Facture &gt; 500 € — à relancer";"")</f>
        <v/>
      </c>
      <c r="I9" s="2">
        <f>SOMME($C$2:$C$120)-SOMME.SI($C$2:$C$120;$G$2:$G$120;"Oui")</f>
        <v/>
      </c>
      <c r="J9" s="3">
        <f>SI(I9&gt;500;"⚠ ENVOYER MESSAGE PAIEMENT";"")</f>
        <v/>
      </c>
      <c r="K9" t="inlineStr">
        <is>
          <t>Non</t>
        </is>
      </c>
      <c r="L9" t="inlineStr"/>
    </row>
    <row r="10">
      <c r="A10" t="inlineStr">
        <is>
          <t>2026-09-01</t>
        </is>
      </c>
      <c r="B10" t="inlineStr">
        <is>
          <t>FAC-MYFRENCH-2026-09</t>
        </is>
      </c>
      <c r="C10" s="6" t="n">
        <v>0</v>
      </c>
      <c r="D10" s="6" t="n">
        <v>0</v>
      </c>
      <c r="E10" s="7">
        <f>SOMME($D$2:D10)-SOMME($C$2:C10)</f>
        <v/>
      </c>
      <c r="F10" s="3">
        <f>SI(E10&lt;=0;"⚠ SOLDE ÉPUISÉ — faire verser 500 €";"")</f>
        <v/>
      </c>
      <c r="G10" t="inlineStr">
        <is>
          <t>Non</t>
        </is>
      </c>
      <c r="H10" s="3">
        <f>SI(C10&gt;500;"⚠ Facture &gt; 500 € — à relancer";"")</f>
        <v/>
      </c>
      <c r="I10" s="2">
        <f>SOMME($C$2:$C$120)-SOMME.SI($C$2:$C$120;$G$2:$G$120;"Oui")</f>
        <v/>
      </c>
      <c r="J10" s="3">
        <f>SI(I10&gt;500;"⚠ ENVOYER MESSAGE PAIEMENT";"")</f>
        <v/>
      </c>
      <c r="K10" t="inlineStr">
        <is>
          <t>Non</t>
        </is>
      </c>
      <c r="L10" t="inlineStr"/>
    </row>
    <row r="11">
      <c r="A11" t="inlineStr">
        <is>
          <t>2026-10-01</t>
        </is>
      </c>
      <c r="B11" t="inlineStr">
        <is>
          <t>FAC-MYFRENCH-2026-10</t>
        </is>
      </c>
      <c r="C11" s="6" t="n">
        <v>0</v>
      </c>
      <c r="D11" s="6" t="n">
        <v>0</v>
      </c>
      <c r="E11" s="7">
        <f>SOMME($D$2:D11)-SOMME($C$2:C11)</f>
        <v/>
      </c>
      <c r="F11" s="3">
        <f>SI(E11&lt;=0;"⚠ SOLDE ÉPUISÉ — faire verser 500 €";"")</f>
        <v/>
      </c>
      <c r="G11" t="inlineStr">
        <is>
          <t>Non</t>
        </is>
      </c>
      <c r="H11" s="3">
        <f>SI(C11&gt;500;"⚠ Facture &gt; 500 € — à relancer";"")</f>
        <v/>
      </c>
      <c r="I11" s="2">
        <f>SOMME($C$2:$C$120)-SOMME.SI($C$2:$C$120;$G$2:$G$120;"Oui")</f>
        <v/>
      </c>
      <c r="J11" s="3">
        <f>SI(I11&gt;500;"⚠ ENVOYER MESSAGE PAIEMENT";"")</f>
        <v/>
      </c>
      <c r="K11" t="inlineStr">
        <is>
          <t>Non</t>
        </is>
      </c>
      <c r="L11" t="inlineStr"/>
    </row>
    <row r="12">
      <c r="A12" t="inlineStr">
        <is>
          <t>2026-11-01</t>
        </is>
      </c>
      <c r="B12" t="inlineStr">
        <is>
          <t>FAC-MYFRENCH-2026-11</t>
        </is>
      </c>
      <c r="C12" s="6" t="n">
        <v>0</v>
      </c>
      <c r="D12" s="6" t="n">
        <v>0</v>
      </c>
      <c r="E12" s="7">
        <f>SOMME($D$2:D12)-SOMME($C$2:C12)</f>
        <v/>
      </c>
      <c r="F12" s="3">
        <f>SI(E12&lt;=0;"⚠ SOLDE ÉPUISÉ — faire verser 500 €";"")</f>
        <v/>
      </c>
      <c r="G12" t="inlineStr">
        <is>
          <t>Non</t>
        </is>
      </c>
      <c r="H12" s="3">
        <f>SI(C12&gt;500;"⚠ Facture &gt; 500 € — à relancer";"")</f>
        <v/>
      </c>
      <c r="I12" s="2">
        <f>SOMME($C$2:$C$120)-SOMME.SI($C$2:$C$120;$G$2:$G$120;"Oui")</f>
        <v/>
      </c>
      <c r="J12" s="3">
        <f>SI(I12&gt;500;"⚠ ENVOYER MESSAGE PAIEMENT";"")</f>
        <v/>
      </c>
      <c r="K12" t="inlineStr">
        <is>
          <t>Non</t>
        </is>
      </c>
      <c r="L12" t="inlineStr"/>
    </row>
    <row r="13">
      <c r="A13" t="inlineStr">
        <is>
          <t>2026-12-01</t>
        </is>
      </c>
      <c r="B13" t="inlineStr">
        <is>
          <t>FAC-MYFRENCH-2026-12</t>
        </is>
      </c>
      <c r="C13" s="6" t="n">
        <v>0</v>
      </c>
      <c r="D13" s="6" t="n">
        <v>0</v>
      </c>
      <c r="E13" s="7">
        <f>SOMME($D$2:D13)-SOMME($C$2:C13)</f>
        <v/>
      </c>
      <c r="F13" s="3">
        <f>SI(E13&lt;=0;"⚠ SOLDE ÉPUISÉ — faire verser 500 €";"")</f>
        <v/>
      </c>
      <c r="G13" t="inlineStr">
        <is>
          <t>Non</t>
        </is>
      </c>
      <c r="H13" s="3">
        <f>SI(C13&gt;500;"⚠ Facture &gt; 500 € — à relancer";"")</f>
        <v/>
      </c>
      <c r="I13" s="2">
        <f>SOMME($C$2:$C$120)-SOMME.SI($C$2:$C$120;$G$2:$G$120;"Oui")</f>
        <v/>
      </c>
      <c r="J13" s="3">
        <f>SI(I13&gt;500;"⚠ ENVOYER MESSAGE PAIEMENT";"")</f>
        <v/>
      </c>
      <c r="K13" t="inlineStr">
        <is>
          <t>Non</t>
        </is>
      </c>
      <c r="L13" t="inlineStr"/>
    </row>
    <row r="14">
      <c r="C14" s="6" t="n">
        <v>0</v>
      </c>
      <c r="D14" s="6" t="n">
        <v>0</v>
      </c>
      <c r="E14" s="7">
        <f>SOMME($D$2:D14)-SOMME($C$2:C14)</f>
        <v/>
      </c>
      <c r="F14" s="3">
        <f>SI(E14&lt;=0;"⚠ SOLDE ÉPUISÉ — faire verser 500 €";"")</f>
        <v/>
      </c>
      <c r="G14" t="inlineStr">
        <is>
          <t>Non</t>
        </is>
      </c>
      <c r="H14" s="3">
        <f>SI(C14&gt;500;"⚠ Facture &gt; 500 € — à relancer";"")</f>
        <v/>
      </c>
      <c r="I14" s="2">
        <f>SOMME($C$2:$C$120)-SOMME.SI($C$2:$C$120;$G$2:$G$120;"Oui")</f>
        <v/>
      </c>
      <c r="J14" s="3">
        <f>SI(I14&gt;500;"⚠ ENVOYER MESSAGE PAIEMENT";"")</f>
        <v/>
      </c>
      <c r="K14" t="inlineStr">
        <is>
          <t>Non</t>
        </is>
      </c>
      <c r="L14" t="inlineStr"/>
    </row>
    <row r="15">
      <c r="C15" s="6" t="n">
        <v>0</v>
      </c>
      <c r="D15" s="6" t="n">
        <v>0</v>
      </c>
      <c r="E15" s="7">
        <f>SOMME($D$2:D15)-SOMME($C$2:C15)</f>
        <v/>
      </c>
      <c r="F15" s="3">
        <f>SI(E15&lt;=0;"⚠ SOLDE ÉPUISÉ — faire verser 500 €";"")</f>
        <v/>
      </c>
      <c r="G15" t="inlineStr">
        <is>
          <t>Non</t>
        </is>
      </c>
      <c r="H15" s="3">
        <f>SI(C15&gt;500;"⚠ Facture &gt; 500 € — à relancer";"")</f>
        <v/>
      </c>
      <c r="I15" s="2">
        <f>SOMME($C$2:$C$120)-SOMME.SI($C$2:$C$120;$G$2:$G$120;"Oui")</f>
        <v/>
      </c>
      <c r="J15" s="3">
        <f>SI(I15&gt;500;"⚠ ENVOYER MESSAGE PAIEMENT";"")</f>
        <v/>
      </c>
      <c r="K15" t="inlineStr">
        <is>
          <t>Non</t>
        </is>
      </c>
      <c r="L15" t="inlineStr"/>
    </row>
    <row r="16">
      <c r="C16" s="6" t="n">
        <v>0</v>
      </c>
      <c r="D16" s="6" t="n">
        <v>0</v>
      </c>
      <c r="E16" s="7">
        <f>SOMME($D$2:D16)-SOMME($C$2:C16)</f>
        <v/>
      </c>
      <c r="F16" s="3">
        <f>SI(E16&lt;=0;"⚠ SOLDE ÉPUISÉ — faire verser 500 €";"")</f>
        <v/>
      </c>
      <c r="G16" t="inlineStr">
        <is>
          <t>Non</t>
        </is>
      </c>
      <c r="H16" s="3">
        <f>SI(C16&gt;500;"⚠ Facture &gt; 500 € — à relancer";"")</f>
        <v/>
      </c>
      <c r="I16" s="2">
        <f>SOMME($C$2:$C$120)-SOMME.SI($C$2:$C$120;$G$2:$G$120;"Oui")</f>
        <v/>
      </c>
      <c r="J16" s="3">
        <f>SI(I16&gt;500;"⚠ ENVOYER MESSAGE PAIEMENT";"")</f>
        <v/>
      </c>
      <c r="K16" t="inlineStr">
        <is>
          <t>Non</t>
        </is>
      </c>
      <c r="L16" t="inlineStr"/>
    </row>
    <row r="17">
      <c r="C17" s="6" t="n">
        <v>0</v>
      </c>
      <c r="D17" s="6" t="n">
        <v>0</v>
      </c>
      <c r="E17" s="7">
        <f>SOMME($D$2:D17)-SOMME($C$2:C17)</f>
        <v/>
      </c>
      <c r="F17" s="3">
        <f>SI(E17&lt;=0;"⚠ SOLDE ÉPUISÉ — faire verser 500 €";"")</f>
        <v/>
      </c>
      <c r="G17" t="inlineStr">
        <is>
          <t>Non</t>
        </is>
      </c>
      <c r="H17" s="3">
        <f>SI(C17&gt;500;"⚠ Facture &gt; 500 € — à relancer";"")</f>
        <v/>
      </c>
      <c r="I17" s="2">
        <f>SOMME($C$2:$C$120)-SOMME.SI($C$2:$C$120;$G$2:$G$120;"Oui")</f>
        <v/>
      </c>
      <c r="J17" s="3">
        <f>SI(I17&gt;500;"⚠ ENVOYER MESSAGE PAIEMENT";"")</f>
        <v/>
      </c>
      <c r="K17" t="inlineStr">
        <is>
          <t>Non</t>
        </is>
      </c>
      <c r="L17" t="inlineStr"/>
    </row>
    <row r="18">
      <c r="C18" s="6" t="n">
        <v>0</v>
      </c>
      <c r="D18" s="6" t="n">
        <v>0</v>
      </c>
      <c r="E18" s="7">
        <f>SOMME($D$2:D18)-SOMME($C$2:C18)</f>
        <v/>
      </c>
      <c r="F18" s="3">
        <f>SI(E18&lt;=0;"⚠ SOLDE ÉPUISÉ — faire verser 500 €";"")</f>
        <v/>
      </c>
      <c r="G18" t="inlineStr">
        <is>
          <t>Non</t>
        </is>
      </c>
      <c r="H18" s="3">
        <f>SI(C18&gt;500;"⚠ Facture &gt; 500 € — à relancer";"")</f>
        <v/>
      </c>
      <c r="I18" s="2">
        <f>SOMME($C$2:$C$120)-SOMME.SI($C$2:$C$120;$G$2:$G$120;"Oui")</f>
        <v/>
      </c>
      <c r="J18" s="3">
        <f>SI(I18&gt;500;"⚠ ENVOYER MESSAGE PAIEMENT";"")</f>
        <v/>
      </c>
      <c r="K18" t="inlineStr">
        <is>
          <t>Non</t>
        </is>
      </c>
      <c r="L18" t="inlineStr"/>
    </row>
    <row r="19">
      <c r="C19" s="6" t="n">
        <v>0</v>
      </c>
      <c r="D19" s="6" t="n">
        <v>0</v>
      </c>
      <c r="E19" s="7">
        <f>SOMME($D$2:D19)-SOMME($C$2:C19)</f>
        <v/>
      </c>
      <c r="F19" s="3">
        <f>SI(E19&lt;=0;"⚠ SOLDE ÉPUISÉ — faire verser 500 €";"")</f>
        <v/>
      </c>
      <c r="G19" t="inlineStr">
        <is>
          <t>Non</t>
        </is>
      </c>
      <c r="H19" s="3">
        <f>SI(C19&gt;500;"⚠ Facture &gt; 500 € — à relancer";"")</f>
        <v/>
      </c>
      <c r="I19" s="2">
        <f>SOMME($C$2:$C$120)-SOMME.SI($C$2:$C$120;$G$2:$G$120;"Oui")</f>
        <v/>
      </c>
      <c r="J19" s="3">
        <f>SI(I19&gt;500;"⚠ ENVOYER MESSAGE PAIEMENT";"")</f>
        <v/>
      </c>
      <c r="K19" t="inlineStr">
        <is>
          <t>Non</t>
        </is>
      </c>
      <c r="L19" t="inlineStr"/>
    </row>
    <row r="20">
      <c r="C20" s="6" t="n">
        <v>0</v>
      </c>
      <c r="D20" s="6" t="n">
        <v>0</v>
      </c>
      <c r="E20" s="7">
        <f>SOMME($D$2:D20)-SOMME($C$2:C20)</f>
        <v/>
      </c>
      <c r="F20" s="3">
        <f>SI(E20&lt;=0;"⚠ SOLDE ÉPUISÉ — faire verser 500 €";"")</f>
        <v/>
      </c>
      <c r="G20" t="inlineStr">
        <is>
          <t>Non</t>
        </is>
      </c>
      <c r="H20" s="3">
        <f>SI(C20&gt;500;"⚠ Facture &gt; 500 € — à relancer";"")</f>
        <v/>
      </c>
      <c r="I20" s="2">
        <f>SOMME($C$2:$C$120)-SOMME.SI($C$2:$C$120;$G$2:$G$120;"Oui")</f>
        <v/>
      </c>
      <c r="J20" s="3">
        <f>SI(I20&gt;500;"⚠ ENVOYER MESSAGE PAIEMENT";"")</f>
        <v/>
      </c>
      <c r="K20" t="inlineStr">
        <is>
          <t>Non</t>
        </is>
      </c>
      <c r="L20" t="inlineStr"/>
    </row>
    <row r="21">
      <c r="C21" s="6" t="n">
        <v>0</v>
      </c>
      <c r="D21" s="6" t="n">
        <v>0</v>
      </c>
      <c r="E21" s="7">
        <f>SOMME($D$2:D21)-SOMME($C$2:C21)</f>
        <v/>
      </c>
      <c r="F21" s="3">
        <f>SI(E21&lt;=0;"⚠ SOLDE ÉPUISÉ — faire verser 500 €";"")</f>
        <v/>
      </c>
      <c r="G21" t="inlineStr">
        <is>
          <t>Non</t>
        </is>
      </c>
      <c r="H21" s="3">
        <f>SI(C21&gt;500;"⚠ Facture &gt; 500 € — à relancer";"")</f>
        <v/>
      </c>
      <c r="I21" s="2">
        <f>SOMME($C$2:$C$120)-SOMME.SI($C$2:$C$120;$G$2:$G$120;"Oui")</f>
        <v/>
      </c>
      <c r="J21" s="3">
        <f>SI(I21&gt;500;"⚠ ENVOYER MESSAGE PAIEMENT";"")</f>
        <v/>
      </c>
      <c r="K21" t="inlineStr">
        <is>
          <t>Non</t>
        </is>
      </c>
      <c r="L21" t="inlineStr"/>
    </row>
    <row r="22">
      <c r="C22" s="6" t="n">
        <v>0</v>
      </c>
      <c r="D22" s="6" t="n">
        <v>0</v>
      </c>
      <c r="E22" s="7">
        <f>SOMME($D$2:D22)-SOMME($C$2:C22)</f>
        <v/>
      </c>
      <c r="F22" s="3">
        <f>SI(E22&lt;=0;"⚠ SOLDE ÉPUISÉ — faire verser 500 €";"")</f>
        <v/>
      </c>
      <c r="G22" t="inlineStr">
        <is>
          <t>Non</t>
        </is>
      </c>
      <c r="H22" s="3">
        <f>SI(C22&gt;500;"⚠ Facture &gt; 500 € — à relancer";"")</f>
        <v/>
      </c>
      <c r="I22" s="2">
        <f>SOMME($C$2:$C$120)-SOMME.SI($C$2:$C$120;$G$2:$G$120;"Oui")</f>
        <v/>
      </c>
      <c r="J22" s="3">
        <f>SI(I22&gt;500;"⚠ ENVOYER MESSAGE PAIEMENT";"")</f>
        <v/>
      </c>
      <c r="K22" t="inlineStr">
        <is>
          <t>Non</t>
        </is>
      </c>
      <c r="L22" t="inlineStr"/>
    </row>
    <row r="23">
      <c r="C23" s="6" t="n">
        <v>0</v>
      </c>
      <c r="D23" s="6" t="n">
        <v>0</v>
      </c>
      <c r="E23" s="7">
        <f>SOMME($D$2:D23)-SOMME($C$2:C23)</f>
        <v/>
      </c>
      <c r="F23" s="3">
        <f>SI(E23&lt;=0;"⚠ SOLDE ÉPUISÉ — faire verser 500 €";"")</f>
        <v/>
      </c>
      <c r="G23" t="inlineStr">
        <is>
          <t>Non</t>
        </is>
      </c>
      <c r="H23" s="3">
        <f>SI(C23&gt;500;"⚠ Facture &gt; 500 € — à relancer";"")</f>
        <v/>
      </c>
      <c r="I23" s="2">
        <f>SOMME($C$2:$C$120)-SOMME.SI($C$2:$C$120;$G$2:$G$120;"Oui")</f>
        <v/>
      </c>
      <c r="J23" s="3">
        <f>SI(I23&gt;500;"⚠ ENVOYER MESSAGE PAIEMENT";"")</f>
        <v/>
      </c>
      <c r="K23" t="inlineStr">
        <is>
          <t>Non</t>
        </is>
      </c>
      <c r="L23" t="inlineStr"/>
    </row>
    <row r="24">
      <c r="C24" s="6" t="n">
        <v>0</v>
      </c>
      <c r="D24" s="6" t="n">
        <v>0</v>
      </c>
      <c r="E24" s="7">
        <f>SOMME($D$2:D24)-SOMME($C$2:C24)</f>
        <v/>
      </c>
      <c r="F24" s="3">
        <f>SI(E24&lt;=0;"⚠ SOLDE ÉPUISÉ — faire verser 500 €";"")</f>
        <v/>
      </c>
      <c r="G24" t="inlineStr">
        <is>
          <t>Non</t>
        </is>
      </c>
      <c r="H24" s="3">
        <f>SI(C24&gt;500;"⚠ Facture &gt; 500 € — à relancer";"")</f>
        <v/>
      </c>
      <c r="I24" s="2">
        <f>SOMME($C$2:$C$120)-SOMME.SI($C$2:$C$120;$G$2:$G$120;"Oui")</f>
        <v/>
      </c>
      <c r="J24" s="3">
        <f>SI(I24&gt;500;"⚠ ENVOYER MESSAGE PAIEMENT";"")</f>
        <v/>
      </c>
      <c r="K24" t="inlineStr">
        <is>
          <t>Non</t>
        </is>
      </c>
      <c r="L24" t="inlineStr"/>
    </row>
    <row r="25">
      <c r="C25" s="6" t="n">
        <v>0</v>
      </c>
      <c r="D25" s="6" t="n">
        <v>0</v>
      </c>
      <c r="E25" s="7">
        <f>SOMME($D$2:D25)-SOMME($C$2:C25)</f>
        <v/>
      </c>
      <c r="F25" s="3">
        <f>SI(E25&lt;=0;"⚠ SOLDE ÉPUISÉ — faire verser 500 €";"")</f>
        <v/>
      </c>
      <c r="G25" t="inlineStr">
        <is>
          <t>Non</t>
        </is>
      </c>
      <c r="H25" s="3">
        <f>SI(C25&gt;500;"⚠ Facture &gt; 500 € — à relancer";"")</f>
        <v/>
      </c>
      <c r="I25" s="2">
        <f>SOMME($C$2:$C$120)-SOMME.SI($C$2:$C$120;$G$2:$G$120;"Oui")</f>
        <v/>
      </c>
      <c r="J25" s="3">
        <f>SI(I25&gt;500;"⚠ ENVOYER MESSAGE PAIEMENT";"")</f>
        <v/>
      </c>
      <c r="K25" t="inlineStr">
        <is>
          <t>Non</t>
        </is>
      </c>
      <c r="L25" t="inlineStr"/>
    </row>
    <row r="26">
      <c r="C26" s="6" t="n">
        <v>0</v>
      </c>
      <c r="D26" s="6" t="n">
        <v>0</v>
      </c>
      <c r="E26" s="7">
        <f>SOMME($D$2:D26)-SOMME($C$2:C26)</f>
        <v/>
      </c>
      <c r="F26" s="3">
        <f>SI(E26&lt;=0;"⚠ SOLDE ÉPUISÉ — faire verser 500 €";"")</f>
        <v/>
      </c>
      <c r="G26" t="inlineStr">
        <is>
          <t>Non</t>
        </is>
      </c>
      <c r="H26" s="3">
        <f>SI(C26&gt;500;"⚠ Facture &gt; 500 € — à relancer";"")</f>
        <v/>
      </c>
      <c r="I26" s="2">
        <f>SOMME($C$2:$C$120)-SOMME.SI($C$2:$C$120;$G$2:$G$120;"Oui")</f>
        <v/>
      </c>
      <c r="J26" s="3">
        <f>SI(I26&gt;500;"⚠ ENVOYER MESSAGE PAIEMENT";"")</f>
        <v/>
      </c>
      <c r="K26" t="inlineStr">
        <is>
          <t>Non</t>
        </is>
      </c>
      <c r="L26" t="inlineStr"/>
    </row>
    <row r="27">
      <c r="C27" s="6" t="n">
        <v>0</v>
      </c>
      <c r="D27" s="6" t="n">
        <v>0</v>
      </c>
      <c r="E27" s="7">
        <f>SOMME($D$2:D27)-SOMME($C$2:C27)</f>
        <v/>
      </c>
      <c r="F27" s="3">
        <f>SI(E27&lt;=0;"⚠ SOLDE ÉPUISÉ — faire verser 500 €";"")</f>
        <v/>
      </c>
      <c r="G27" t="inlineStr">
        <is>
          <t>Non</t>
        </is>
      </c>
      <c r="H27" s="3">
        <f>SI(C27&gt;500;"⚠ Facture &gt; 500 € — à relancer";"")</f>
        <v/>
      </c>
      <c r="I27" s="2">
        <f>SOMME($C$2:$C$120)-SOMME.SI($C$2:$C$120;$G$2:$G$120;"Oui")</f>
        <v/>
      </c>
      <c r="J27" s="3">
        <f>SI(I27&gt;500;"⚠ ENVOYER MESSAGE PAIEMENT";"")</f>
        <v/>
      </c>
      <c r="K27" t="inlineStr">
        <is>
          <t>Non</t>
        </is>
      </c>
      <c r="L27" t="inlineStr"/>
    </row>
    <row r="28">
      <c r="C28" s="6" t="n">
        <v>0</v>
      </c>
      <c r="D28" s="6" t="n">
        <v>0</v>
      </c>
      <c r="E28" s="7">
        <f>SOMME($D$2:D28)-SOMME($C$2:C28)</f>
        <v/>
      </c>
      <c r="F28" s="3">
        <f>SI(E28&lt;=0;"⚠ SOLDE ÉPUISÉ — faire verser 500 €";"")</f>
        <v/>
      </c>
      <c r="G28" t="inlineStr">
        <is>
          <t>Non</t>
        </is>
      </c>
      <c r="H28" s="3">
        <f>SI(C28&gt;500;"⚠ Facture &gt; 500 € — à relancer";"")</f>
        <v/>
      </c>
      <c r="I28" s="2">
        <f>SOMME($C$2:$C$120)-SOMME.SI($C$2:$C$120;$G$2:$G$120;"Oui")</f>
        <v/>
      </c>
      <c r="J28" s="3">
        <f>SI(I28&gt;500;"⚠ ENVOYER MESSAGE PAIEMENT";"")</f>
        <v/>
      </c>
      <c r="K28" t="inlineStr">
        <is>
          <t>Non</t>
        </is>
      </c>
      <c r="L28" t="inlineStr"/>
    </row>
    <row r="29">
      <c r="C29" s="6" t="n">
        <v>0</v>
      </c>
      <c r="D29" s="6" t="n">
        <v>0</v>
      </c>
      <c r="E29" s="7">
        <f>SOMME($D$2:D29)-SOMME($C$2:C29)</f>
        <v/>
      </c>
      <c r="F29" s="3">
        <f>SI(E29&lt;=0;"⚠ SOLDE ÉPUISÉ — faire verser 500 €";"")</f>
        <v/>
      </c>
      <c r="G29" t="inlineStr">
        <is>
          <t>Non</t>
        </is>
      </c>
      <c r="H29" s="3">
        <f>SI(C29&gt;500;"⚠ Facture &gt; 500 € — à relancer";"")</f>
        <v/>
      </c>
      <c r="I29" s="2">
        <f>SOMME($C$2:$C$120)-SOMME.SI($C$2:$C$120;$G$2:$G$120;"Oui")</f>
        <v/>
      </c>
      <c r="J29" s="3">
        <f>SI(I29&gt;500;"⚠ ENVOYER MESSAGE PAIEMENT";"")</f>
        <v/>
      </c>
      <c r="K29" t="inlineStr">
        <is>
          <t>Non</t>
        </is>
      </c>
      <c r="L29" t="inlineStr"/>
    </row>
    <row r="30">
      <c r="C30" s="6" t="n">
        <v>0</v>
      </c>
      <c r="D30" s="6" t="n">
        <v>0</v>
      </c>
      <c r="E30" s="7">
        <f>SOMME($D$2:D30)-SOMME($C$2:C30)</f>
        <v/>
      </c>
      <c r="F30" s="3">
        <f>SI(E30&lt;=0;"⚠ SOLDE ÉPUISÉ — faire verser 500 €";"")</f>
        <v/>
      </c>
      <c r="G30" t="inlineStr">
        <is>
          <t>Non</t>
        </is>
      </c>
      <c r="H30" s="3">
        <f>SI(C30&gt;500;"⚠ Facture &gt; 500 € — à relancer";"")</f>
        <v/>
      </c>
      <c r="I30" s="2">
        <f>SOMME($C$2:$C$120)-SOMME.SI($C$2:$C$120;$G$2:$G$120;"Oui")</f>
        <v/>
      </c>
      <c r="J30" s="3">
        <f>SI(I30&gt;500;"⚠ ENVOYER MESSAGE PAIEMENT";"")</f>
        <v/>
      </c>
      <c r="K30" t="inlineStr">
        <is>
          <t>Non</t>
        </is>
      </c>
      <c r="L30" t="inlineStr"/>
    </row>
    <row r="31">
      <c r="C31" s="6" t="n">
        <v>0</v>
      </c>
      <c r="D31" s="6" t="n">
        <v>0</v>
      </c>
      <c r="E31" s="7">
        <f>SOMME($D$2:D31)-SOMME($C$2:C31)</f>
        <v/>
      </c>
      <c r="F31" s="3">
        <f>SI(E31&lt;=0;"⚠ SOLDE ÉPUISÉ — faire verser 500 €";"")</f>
        <v/>
      </c>
      <c r="G31" t="inlineStr">
        <is>
          <t>Non</t>
        </is>
      </c>
      <c r="H31" s="3">
        <f>SI(C31&gt;500;"⚠ Facture &gt; 500 € — à relancer";"")</f>
        <v/>
      </c>
      <c r="I31" s="2">
        <f>SOMME($C$2:$C$120)-SOMME.SI($C$2:$C$120;$G$2:$G$120;"Oui")</f>
        <v/>
      </c>
      <c r="J31" s="3">
        <f>SI(I31&gt;500;"⚠ ENVOYER MESSAGE PAIEMENT";"")</f>
        <v/>
      </c>
      <c r="K31" t="inlineStr">
        <is>
          <t>Non</t>
        </is>
      </c>
      <c r="L31" t="inlineStr"/>
    </row>
    <row r="32">
      <c r="C32" s="6" t="n">
        <v>0</v>
      </c>
      <c r="D32" s="6" t="n">
        <v>0</v>
      </c>
      <c r="E32" s="7">
        <f>SOMME($D$2:D32)-SOMME($C$2:C32)</f>
        <v/>
      </c>
      <c r="F32" s="3">
        <f>SI(E32&lt;=0;"⚠ SOLDE ÉPUISÉ — faire verser 500 €";"")</f>
        <v/>
      </c>
      <c r="G32" t="inlineStr">
        <is>
          <t>Non</t>
        </is>
      </c>
      <c r="H32" s="3">
        <f>SI(C32&gt;500;"⚠ Facture &gt; 500 € — à relancer";"")</f>
        <v/>
      </c>
      <c r="I32" s="2">
        <f>SOMME($C$2:$C$120)-SOMME.SI($C$2:$C$120;$G$2:$G$120;"Oui")</f>
        <v/>
      </c>
      <c r="J32" s="3">
        <f>SI(I32&gt;500;"⚠ ENVOYER MESSAGE PAIEMENT";"")</f>
        <v/>
      </c>
      <c r="K32" t="inlineStr">
        <is>
          <t>Non</t>
        </is>
      </c>
      <c r="L32" t="inlineStr"/>
    </row>
    <row r="33">
      <c r="C33" s="6" t="n">
        <v>0</v>
      </c>
      <c r="D33" s="6" t="n">
        <v>0</v>
      </c>
      <c r="E33" s="7">
        <f>SOMME($D$2:D33)-SOMME($C$2:C33)</f>
        <v/>
      </c>
      <c r="F33" s="3">
        <f>SI(E33&lt;=0;"⚠ SOLDE ÉPUISÉ — faire verser 500 €";"")</f>
        <v/>
      </c>
      <c r="G33" t="inlineStr">
        <is>
          <t>Non</t>
        </is>
      </c>
      <c r="H33" s="3">
        <f>SI(C33&gt;500;"⚠ Facture &gt; 500 € — à relancer";"")</f>
        <v/>
      </c>
      <c r="I33" s="2">
        <f>SOMME($C$2:$C$120)-SOMME.SI($C$2:$C$120;$G$2:$G$120;"Oui")</f>
        <v/>
      </c>
      <c r="J33" s="3">
        <f>SI(I33&gt;500;"⚠ ENVOYER MESSAGE PAIEMENT";"")</f>
        <v/>
      </c>
      <c r="K33" t="inlineStr">
        <is>
          <t>Non</t>
        </is>
      </c>
      <c r="L33" t="inlineStr"/>
    </row>
    <row r="34">
      <c r="C34" s="6" t="n">
        <v>0</v>
      </c>
      <c r="D34" s="6" t="n">
        <v>0</v>
      </c>
      <c r="E34" s="7">
        <f>SOMME($D$2:D34)-SOMME($C$2:C34)</f>
        <v/>
      </c>
      <c r="F34" s="3">
        <f>SI(E34&lt;=0;"⚠ SOLDE ÉPUISÉ — faire verser 500 €";"")</f>
        <v/>
      </c>
      <c r="G34" t="inlineStr">
        <is>
          <t>Non</t>
        </is>
      </c>
      <c r="H34" s="3">
        <f>SI(C34&gt;500;"⚠ Facture &gt; 500 € — à relancer";"")</f>
        <v/>
      </c>
      <c r="I34" s="2">
        <f>SOMME($C$2:$C$120)-SOMME.SI($C$2:$C$120;$G$2:$G$120;"Oui")</f>
        <v/>
      </c>
      <c r="J34" s="3">
        <f>SI(I34&gt;500;"⚠ ENVOYER MESSAGE PAIEMENT";"")</f>
        <v/>
      </c>
      <c r="K34" t="inlineStr">
        <is>
          <t>Non</t>
        </is>
      </c>
      <c r="L34" t="inlineStr"/>
    </row>
    <row r="35">
      <c r="C35" s="6" t="n">
        <v>0</v>
      </c>
      <c r="D35" s="6" t="n">
        <v>0</v>
      </c>
      <c r="E35" s="7">
        <f>SOMME($D$2:D35)-SOMME($C$2:C35)</f>
        <v/>
      </c>
      <c r="F35" s="3">
        <f>SI(E35&lt;=0;"⚠ SOLDE ÉPUISÉ — faire verser 500 €";"")</f>
        <v/>
      </c>
      <c r="G35" t="inlineStr">
        <is>
          <t>Non</t>
        </is>
      </c>
      <c r="H35" s="3">
        <f>SI(C35&gt;500;"⚠ Facture &gt; 500 € — à relancer";"")</f>
        <v/>
      </c>
      <c r="I35" s="2">
        <f>SOMME($C$2:$C$120)-SOMME.SI($C$2:$C$120;$G$2:$G$120;"Oui")</f>
        <v/>
      </c>
      <c r="J35" s="3">
        <f>SI(I35&gt;500;"⚠ ENVOYER MESSAGE PAIEMENT";"")</f>
        <v/>
      </c>
      <c r="K35" t="inlineStr">
        <is>
          <t>Non</t>
        </is>
      </c>
      <c r="L35" t="inlineStr"/>
    </row>
    <row r="36">
      <c r="C36" s="6" t="n">
        <v>0</v>
      </c>
      <c r="D36" s="6" t="n">
        <v>0</v>
      </c>
      <c r="E36" s="7">
        <f>SOMME($D$2:D36)-SOMME($C$2:C36)</f>
        <v/>
      </c>
      <c r="F36" s="3">
        <f>SI(E36&lt;=0;"⚠ SOLDE ÉPUISÉ — faire verser 500 €";"")</f>
        <v/>
      </c>
      <c r="G36" t="inlineStr">
        <is>
          <t>Non</t>
        </is>
      </c>
      <c r="H36" s="3">
        <f>SI(C36&gt;500;"⚠ Facture &gt; 500 € — à relancer";"")</f>
        <v/>
      </c>
      <c r="I36" s="2">
        <f>SOMME($C$2:$C$120)-SOMME.SI($C$2:$C$120;$G$2:$G$120;"Oui")</f>
        <v/>
      </c>
      <c r="J36" s="3">
        <f>SI(I36&gt;500;"⚠ ENVOYER MESSAGE PAIEMENT";"")</f>
        <v/>
      </c>
      <c r="K36" t="inlineStr">
        <is>
          <t>Non</t>
        </is>
      </c>
      <c r="L36" t="inlineStr"/>
    </row>
    <row r="37">
      <c r="C37" s="6" t="n">
        <v>0</v>
      </c>
      <c r="D37" s="6" t="n">
        <v>0</v>
      </c>
      <c r="E37" s="7">
        <f>SOMME($D$2:D37)-SOMME($C$2:C37)</f>
        <v/>
      </c>
      <c r="F37" s="3">
        <f>SI(E37&lt;=0;"⚠ SOLDE ÉPUISÉ — faire verser 500 €";"")</f>
        <v/>
      </c>
      <c r="G37" t="inlineStr">
        <is>
          <t>Non</t>
        </is>
      </c>
      <c r="H37" s="3">
        <f>SI(C37&gt;500;"⚠ Facture &gt; 500 € — à relancer";"")</f>
        <v/>
      </c>
      <c r="I37" s="2">
        <f>SOMME($C$2:$C$120)-SOMME.SI($C$2:$C$120;$G$2:$G$120;"Oui")</f>
        <v/>
      </c>
      <c r="J37" s="3">
        <f>SI(I37&gt;500;"⚠ ENVOYER MESSAGE PAIEMENT";"")</f>
        <v/>
      </c>
      <c r="K37" t="inlineStr">
        <is>
          <t>Non</t>
        </is>
      </c>
      <c r="L37" t="inlineStr"/>
    </row>
    <row r="38">
      <c r="C38" s="6" t="n">
        <v>0</v>
      </c>
      <c r="D38" s="6" t="n">
        <v>0</v>
      </c>
      <c r="E38" s="7">
        <f>SOMME($D$2:D38)-SOMME($C$2:C38)</f>
        <v/>
      </c>
      <c r="F38" s="3">
        <f>SI(E38&lt;=0;"⚠ SOLDE ÉPUISÉ — faire verser 500 €";"")</f>
        <v/>
      </c>
      <c r="G38" t="inlineStr">
        <is>
          <t>Non</t>
        </is>
      </c>
      <c r="H38" s="3">
        <f>SI(C38&gt;500;"⚠ Facture &gt; 500 € — à relancer";"")</f>
        <v/>
      </c>
      <c r="I38" s="2">
        <f>SOMME($C$2:$C$120)-SOMME.SI($C$2:$C$120;$G$2:$G$120;"Oui")</f>
        <v/>
      </c>
      <c r="J38" s="3">
        <f>SI(I38&gt;500;"⚠ ENVOYER MESSAGE PAIEMENT";"")</f>
        <v/>
      </c>
      <c r="K38" t="inlineStr">
        <is>
          <t>Non</t>
        </is>
      </c>
      <c r="L38" t="inlineStr"/>
    </row>
    <row r="39">
      <c r="C39" s="6" t="n">
        <v>0</v>
      </c>
      <c r="D39" s="6" t="n">
        <v>0</v>
      </c>
      <c r="E39" s="7">
        <f>SOMME($D$2:D39)-SOMME($C$2:C39)</f>
        <v/>
      </c>
      <c r="F39" s="3">
        <f>SI(E39&lt;=0;"⚠ SOLDE ÉPUISÉ — faire verser 500 €";"")</f>
        <v/>
      </c>
      <c r="G39" t="inlineStr">
        <is>
          <t>Non</t>
        </is>
      </c>
      <c r="H39" s="3">
        <f>SI(C39&gt;500;"⚠ Facture &gt; 500 € — à relancer";"")</f>
        <v/>
      </c>
      <c r="I39" s="2">
        <f>SOMME($C$2:$C$120)-SOMME.SI($C$2:$C$120;$G$2:$G$120;"Oui")</f>
        <v/>
      </c>
      <c r="J39" s="3">
        <f>SI(I39&gt;500;"⚠ ENVOYER MESSAGE PAIEMENT";"")</f>
        <v/>
      </c>
      <c r="K39" t="inlineStr">
        <is>
          <t>Non</t>
        </is>
      </c>
      <c r="L39" t="inlineStr"/>
    </row>
    <row r="40">
      <c r="C40" s="6" t="n">
        <v>0</v>
      </c>
      <c r="D40" s="6" t="n">
        <v>0</v>
      </c>
      <c r="E40" s="7">
        <f>SOMME($D$2:D40)-SOMME($C$2:C40)</f>
        <v/>
      </c>
      <c r="F40" s="3">
        <f>SI(E40&lt;=0;"⚠ SOLDE ÉPUISÉ — faire verser 500 €";"")</f>
        <v/>
      </c>
      <c r="G40" t="inlineStr">
        <is>
          <t>Non</t>
        </is>
      </c>
      <c r="H40" s="3">
        <f>SI(C40&gt;500;"⚠ Facture &gt; 500 € — à relancer";"")</f>
        <v/>
      </c>
      <c r="I40" s="2">
        <f>SOMME($C$2:$C$120)-SOMME.SI($C$2:$C$120;$G$2:$G$120;"Oui")</f>
        <v/>
      </c>
      <c r="J40" s="3">
        <f>SI(I40&gt;500;"⚠ ENVOYER MESSAGE PAIEMENT";"")</f>
        <v/>
      </c>
      <c r="K40" t="inlineStr">
        <is>
          <t>Non</t>
        </is>
      </c>
      <c r="L40" t="inlineStr"/>
    </row>
    <row r="41">
      <c r="C41" s="6" t="n">
        <v>0</v>
      </c>
      <c r="D41" s="6" t="n">
        <v>0</v>
      </c>
      <c r="E41" s="7">
        <f>SOMME($D$2:D41)-SOMME($C$2:C41)</f>
        <v/>
      </c>
      <c r="F41" s="3">
        <f>SI(E41&lt;=0;"⚠ SOLDE ÉPUISÉ — faire verser 500 €";"")</f>
        <v/>
      </c>
      <c r="G41" t="inlineStr">
        <is>
          <t>Non</t>
        </is>
      </c>
      <c r="H41" s="3">
        <f>SI(C41&gt;500;"⚠ Facture &gt; 500 € — à relancer";"")</f>
        <v/>
      </c>
      <c r="I41" s="2">
        <f>SOMME($C$2:$C$120)-SOMME.SI($C$2:$C$120;$G$2:$G$120;"Oui")</f>
        <v/>
      </c>
      <c r="J41" s="3">
        <f>SI(I41&gt;500;"⚠ ENVOYER MESSAGE PAIEMENT";"")</f>
        <v/>
      </c>
      <c r="K41" t="inlineStr">
        <is>
          <t>Non</t>
        </is>
      </c>
      <c r="L41" t="inlineStr"/>
    </row>
    <row r="42">
      <c r="C42" s="6" t="n">
        <v>0</v>
      </c>
      <c r="D42" s="6" t="n">
        <v>0</v>
      </c>
      <c r="E42" s="7">
        <f>SOMME($D$2:D42)-SOMME($C$2:C42)</f>
        <v/>
      </c>
      <c r="F42" s="3">
        <f>SI(E42&lt;=0;"⚠ SOLDE ÉPUISÉ — faire verser 500 €";"")</f>
        <v/>
      </c>
      <c r="G42" t="inlineStr">
        <is>
          <t>Non</t>
        </is>
      </c>
      <c r="H42" s="3">
        <f>SI(C42&gt;500;"⚠ Facture &gt; 500 € — à relancer";"")</f>
        <v/>
      </c>
      <c r="I42" s="2">
        <f>SOMME($C$2:$C$120)-SOMME.SI($C$2:$C$120;$G$2:$G$120;"Oui")</f>
        <v/>
      </c>
      <c r="J42" s="3">
        <f>SI(I42&gt;500;"⚠ ENVOYER MESSAGE PAIEMENT";"")</f>
        <v/>
      </c>
      <c r="K42" t="inlineStr">
        <is>
          <t>Non</t>
        </is>
      </c>
      <c r="L42" t="inlineStr"/>
    </row>
    <row r="43">
      <c r="C43" s="6" t="n">
        <v>0</v>
      </c>
      <c r="D43" s="6" t="n">
        <v>0</v>
      </c>
      <c r="E43" s="7">
        <f>SOMME($D$2:D43)-SOMME($C$2:C43)</f>
        <v/>
      </c>
      <c r="F43" s="3">
        <f>SI(E43&lt;=0;"⚠ SOLDE ÉPUISÉ — faire verser 500 €";"")</f>
        <v/>
      </c>
      <c r="G43" t="inlineStr">
        <is>
          <t>Non</t>
        </is>
      </c>
      <c r="H43" s="3">
        <f>SI(C43&gt;500;"⚠ Facture &gt; 500 € — à relancer";"")</f>
        <v/>
      </c>
      <c r="I43" s="2">
        <f>SOMME($C$2:$C$120)-SOMME.SI($C$2:$C$120;$G$2:$G$120;"Oui")</f>
        <v/>
      </c>
      <c r="J43" s="3">
        <f>SI(I43&gt;500;"⚠ ENVOYER MESSAGE PAIEMENT";"")</f>
        <v/>
      </c>
      <c r="K43" t="inlineStr">
        <is>
          <t>Non</t>
        </is>
      </c>
      <c r="L43" t="inlineStr"/>
    </row>
    <row r="44">
      <c r="C44" s="6" t="n">
        <v>0</v>
      </c>
      <c r="D44" s="6" t="n">
        <v>0</v>
      </c>
      <c r="E44" s="7">
        <f>SOMME($D$2:D44)-SOMME($C$2:C44)</f>
        <v/>
      </c>
      <c r="F44" s="3">
        <f>SI(E44&lt;=0;"⚠ SOLDE ÉPUISÉ — faire verser 500 €";"")</f>
        <v/>
      </c>
      <c r="G44" t="inlineStr">
        <is>
          <t>Non</t>
        </is>
      </c>
      <c r="H44" s="3">
        <f>SI(C44&gt;500;"⚠ Facture &gt; 500 € — à relancer";"")</f>
        <v/>
      </c>
      <c r="I44" s="2">
        <f>SOMME($C$2:$C$120)-SOMME.SI($C$2:$C$120;$G$2:$G$120;"Oui")</f>
        <v/>
      </c>
      <c r="J44" s="3">
        <f>SI(I44&gt;500;"⚠ ENVOYER MESSAGE PAIEMENT";"")</f>
        <v/>
      </c>
      <c r="K44" t="inlineStr">
        <is>
          <t>Non</t>
        </is>
      </c>
      <c r="L44" t="inlineStr"/>
    </row>
    <row r="45">
      <c r="C45" s="6" t="n">
        <v>0</v>
      </c>
      <c r="D45" s="6" t="n">
        <v>0</v>
      </c>
      <c r="E45" s="7">
        <f>SOMME($D$2:D45)-SOMME($C$2:C45)</f>
        <v/>
      </c>
      <c r="F45" s="3">
        <f>SI(E45&lt;=0;"⚠ SOLDE ÉPUISÉ — faire verser 500 €";"")</f>
        <v/>
      </c>
      <c r="G45" t="inlineStr">
        <is>
          <t>Non</t>
        </is>
      </c>
      <c r="H45" s="3">
        <f>SI(C45&gt;500;"⚠ Facture &gt; 500 € — à relancer";"")</f>
        <v/>
      </c>
      <c r="I45" s="2">
        <f>SOMME($C$2:$C$120)-SOMME.SI($C$2:$C$120;$G$2:$G$120;"Oui")</f>
        <v/>
      </c>
      <c r="J45" s="3">
        <f>SI(I45&gt;500;"⚠ ENVOYER MESSAGE PAIEMENT";"")</f>
        <v/>
      </c>
      <c r="K45" t="inlineStr">
        <is>
          <t>Non</t>
        </is>
      </c>
      <c r="L45" t="inlineStr"/>
    </row>
    <row r="46">
      <c r="C46" s="6" t="n">
        <v>0</v>
      </c>
      <c r="D46" s="6" t="n">
        <v>0</v>
      </c>
      <c r="E46" s="7">
        <f>SOMME($D$2:D46)-SOMME($C$2:C46)</f>
        <v/>
      </c>
      <c r="F46" s="3">
        <f>SI(E46&lt;=0;"⚠ SOLDE ÉPUISÉ — faire verser 500 €";"")</f>
        <v/>
      </c>
      <c r="G46" t="inlineStr">
        <is>
          <t>Non</t>
        </is>
      </c>
      <c r="H46" s="3">
        <f>SI(C46&gt;500;"⚠ Facture &gt; 500 € — à relancer";"")</f>
        <v/>
      </c>
      <c r="I46" s="2">
        <f>SOMME($C$2:$C$120)-SOMME.SI($C$2:$C$120;$G$2:$G$120;"Oui")</f>
        <v/>
      </c>
      <c r="J46" s="3">
        <f>SI(I46&gt;500;"⚠ ENVOYER MESSAGE PAIEMENT";"")</f>
        <v/>
      </c>
      <c r="K46" t="inlineStr">
        <is>
          <t>Non</t>
        </is>
      </c>
      <c r="L46" t="inlineStr"/>
    </row>
    <row r="47">
      <c r="C47" s="6" t="n">
        <v>0</v>
      </c>
      <c r="D47" s="6" t="n">
        <v>0</v>
      </c>
      <c r="E47" s="7">
        <f>SOMME($D$2:D47)-SOMME($C$2:C47)</f>
        <v/>
      </c>
      <c r="F47" s="3">
        <f>SI(E47&lt;=0;"⚠ SOLDE ÉPUISÉ — faire verser 500 €";"")</f>
        <v/>
      </c>
      <c r="G47" t="inlineStr">
        <is>
          <t>Non</t>
        </is>
      </c>
      <c r="H47" s="3">
        <f>SI(C47&gt;500;"⚠ Facture &gt; 500 € — à relancer";"")</f>
        <v/>
      </c>
      <c r="I47" s="2">
        <f>SOMME($C$2:$C$120)-SOMME.SI($C$2:$C$120;$G$2:$G$120;"Oui")</f>
        <v/>
      </c>
      <c r="J47" s="3">
        <f>SI(I47&gt;500;"⚠ ENVOYER MESSAGE PAIEMENT";"")</f>
        <v/>
      </c>
      <c r="K47" t="inlineStr">
        <is>
          <t>Non</t>
        </is>
      </c>
      <c r="L47" t="inlineStr"/>
    </row>
    <row r="48">
      <c r="C48" s="6" t="n">
        <v>0</v>
      </c>
      <c r="D48" s="6" t="n">
        <v>0</v>
      </c>
      <c r="E48" s="7">
        <f>SOMME($D$2:D48)-SOMME($C$2:C48)</f>
        <v/>
      </c>
      <c r="F48" s="3">
        <f>SI(E48&lt;=0;"⚠ SOLDE ÉPUISÉ — faire verser 500 €";"")</f>
        <v/>
      </c>
      <c r="G48" t="inlineStr">
        <is>
          <t>Non</t>
        </is>
      </c>
      <c r="H48" s="3">
        <f>SI(C48&gt;500;"⚠ Facture &gt; 500 € — à relancer";"")</f>
        <v/>
      </c>
      <c r="I48" s="2">
        <f>SOMME($C$2:$C$120)-SOMME.SI($C$2:$C$120;$G$2:$G$120;"Oui")</f>
        <v/>
      </c>
      <c r="J48" s="3">
        <f>SI(I48&gt;500;"⚠ ENVOYER MESSAGE PAIEMENT";"")</f>
        <v/>
      </c>
      <c r="K48" t="inlineStr">
        <is>
          <t>Non</t>
        </is>
      </c>
      <c r="L48" t="inlineStr"/>
    </row>
    <row r="49">
      <c r="C49" s="6" t="n">
        <v>0</v>
      </c>
      <c r="D49" s="6" t="n">
        <v>0</v>
      </c>
      <c r="E49" s="7">
        <f>SOMME($D$2:D49)-SOMME($C$2:C49)</f>
        <v/>
      </c>
      <c r="F49" s="3">
        <f>SI(E49&lt;=0;"⚠ SOLDE ÉPUISÉ — faire verser 500 €";"")</f>
        <v/>
      </c>
      <c r="G49" t="inlineStr">
        <is>
          <t>Non</t>
        </is>
      </c>
      <c r="H49" s="3">
        <f>SI(C49&gt;500;"⚠ Facture &gt; 500 € — à relancer";"")</f>
        <v/>
      </c>
      <c r="I49" s="2">
        <f>SOMME($C$2:$C$120)-SOMME.SI($C$2:$C$120;$G$2:$G$120;"Oui")</f>
        <v/>
      </c>
      <c r="J49" s="3">
        <f>SI(I49&gt;500;"⚠ ENVOYER MESSAGE PAIEMENT";"")</f>
        <v/>
      </c>
      <c r="K49" t="inlineStr">
        <is>
          <t>Non</t>
        </is>
      </c>
      <c r="L49" t="inlineStr"/>
    </row>
    <row r="50">
      <c r="C50" s="6" t="n">
        <v>0</v>
      </c>
      <c r="D50" s="6" t="n">
        <v>0</v>
      </c>
      <c r="E50" s="7">
        <f>SOMME($D$2:D50)-SOMME($C$2:C50)</f>
        <v/>
      </c>
      <c r="F50" s="3">
        <f>SI(E50&lt;=0;"⚠ SOLDE ÉPUISÉ — faire verser 500 €";"")</f>
        <v/>
      </c>
      <c r="G50" t="inlineStr">
        <is>
          <t>Non</t>
        </is>
      </c>
      <c r="H50" s="3">
        <f>SI(C50&gt;500;"⚠ Facture &gt; 500 € — à relancer";"")</f>
        <v/>
      </c>
      <c r="I50" s="2">
        <f>SOMME($C$2:$C$120)-SOMME.SI($C$2:$C$120;$G$2:$G$120;"Oui")</f>
        <v/>
      </c>
      <c r="J50" s="3">
        <f>SI(I50&gt;500;"⚠ ENVOYER MESSAGE PAIEMENT";"")</f>
        <v/>
      </c>
      <c r="K50" t="inlineStr">
        <is>
          <t>Non</t>
        </is>
      </c>
      <c r="L50" t="inlineStr"/>
    </row>
    <row r="51">
      <c r="C51" s="6" t="n">
        <v>0</v>
      </c>
      <c r="D51" s="6" t="n">
        <v>0</v>
      </c>
      <c r="E51" s="7">
        <f>SOMME($D$2:D51)-SOMME($C$2:C51)</f>
        <v/>
      </c>
      <c r="F51" s="3">
        <f>SI(E51&lt;=0;"⚠ SOLDE ÉPUISÉ — faire verser 500 €";"")</f>
        <v/>
      </c>
      <c r="G51" t="inlineStr">
        <is>
          <t>Non</t>
        </is>
      </c>
      <c r="H51" s="3">
        <f>SI(C51&gt;500;"⚠ Facture &gt; 500 € — à relancer";"")</f>
        <v/>
      </c>
      <c r="I51" s="2">
        <f>SOMME($C$2:$C$120)-SOMME.SI($C$2:$C$120;$G$2:$G$120;"Oui")</f>
        <v/>
      </c>
      <c r="J51" s="3">
        <f>SI(I51&gt;500;"⚠ ENVOYER MESSAGE PAIEMENT";"")</f>
        <v/>
      </c>
      <c r="K51" t="inlineStr">
        <is>
          <t>Non</t>
        </is>
      </c>
      <c r="L51" t="inlineStr"/>
    </row>
    <row r="52">
      <c r="C52" s="6" t="n">
        <v>0</v>
      </c>
      <c r="D52" s="6" t="n">
        <v>0</v>
      </c>
      <c r="E52" s="7">
        <f>SOMME($D$2:D52)-SOMME($C$2:C52)</f>
        <v/>
      </c>
      <c r="F52" s="3">
        <f>SI(E52&lt;=0;"⚠ SOLDE ÉPUISÉ — faire verser 500 €";"")</f>
        <v/>
      </c>
      <c r="G52" t="inlineStr">
        <is>
          <t>Non</t>
        </is>
      </c>
      <c r="H52" s="3">
        <f>SI(C52&gt;500;"⚠ Facture &gt; 500 € — à relancer";"")</f>
        <v/>
      </c>
      <c r="I52" s="2">
        <f>SOMME($C$2:$C$120)-SOMME.SI($C$2:$C$120;$G$2:$G$120;"Oui")</f>
        <v/>
      </c>
      <c r="J52" s="3">
        <f>SI(I52&gt;500;"⚠ ENVOYER MESSAGE PAIEMENT";"")</f>
        <v/>
      </c>
      <c r="K52" t="inlineStr">
        <is>
          <t>Non</t>
        </is>
      </c>
      <c r="L52" t="inlineStr"/>
    </row>
    <row r="53">
      <c r="C53" s="6" t="n">
        <v>0</v>
      </c>
      <c r="D53" s="6" t="n">
        <v>0</v>
      </c>
      <c r="E53" s="7">
        <f>SOMME($D$2:D53)-SOMME($C$2:C53)</f>
        <v/>
      </c>
      <c r="F53" s="3">
        <f>SI(E53&lt;=0;"⚠ SOLDE ÉPUISÉ — faire verser 500 €";"")</f>
        <v/>
      </c>
      <c r="G53" t="inlineStr">
        <is>
          <t>Non</t>
        </is>
      </c>
      <c r="H53" s="3">
        <f>SI(C53&gt;500;"⚠ Facture &gt; 500 € — à relancer";"")</f>
        <v/>
      </c>
      <c r="I53" s="2">
        <f>SOMME($C$2:$C$120)-SOMME.SI($C$2:$C$120;$G$2:$G$120;"Oui")</f>
        <v/>
      </c>
      <c r="J53" s="3">
        <f>SI(I53&gt;500;"⚠ ENVOYER MESSAGE PAIEMENT";"")</f>
        <v/>
      </c>
      <c r="K53" t="inlineStr">
        <is>
          <t>Non</t>
        </is>
      </c>
      <c r="L53" t="inlineStr"/>
    </row>
    <row r="54">
      <c r="C54" s="6" t="n">
        <v>0</v>
      </c>
      <c r="D54" s="6" t="n">
        <v>0</v>
      </c>
      <c r="E54" s="7">
        <f>SOMME($D$2:D54)-SOMME($C$2:C54)</f>
        <v/>
      </c>
      <c r="F54" s="3">
        <f>SI(E54&lt;=0;"⚠ SOLDE ÉPUISÉ — faire verser 500 €";"")</f>
        <v/>
      </c>
      <c r="G54" t="inlineStr">
        <is>
          <t>Non</t>
        </is>
      </c>
      <c r="H54" s="3">
        <f>SI(C54&gt;500;"⚠ Facture &gt; 500 € — à relancer";"")</f>
        <v/>
      </c>
      <c r="I54" s="2">
        <f>SOMME($C$2:$C$120)-SOMME.SI($C$2:$C$120;$G$2:$G$120;"Oui")</f>
        <v/>
      </c>
      <c r="J54" s="3">
        <f>SI(I54&gt;500;"⚠ ENVOYER MESSAGE PAIEMENT";"")</f>
        <v/>
      </c>
      <c r="K54" t="inlineStr">
        <is>
          <t>Non</t>
        </is>
      </c>
      <c r="L54" t="inlineStr"/>
    </row>
    <row r="55">
      <c r="C55" s="6" t="n">
        <v>0</v>
      </c>
      <c r="D55" s="6" t="n">
        <v>0</v>
      </c>
      <c r="E55" s="7">
        <f>SOMME($D$2:D55)-SOMME($C$2:C55)</f>
        <v/>
      </c>
      <c r="F55" s="3">
        <f>SI(E55&lt;=0;"⚠ SOLDE ÉPUISÉ — faire verser 500 €";"")</f>
        <v/>
      </c>
      <c r="G55" t="inlineStr">
        <is>
          <t>Non</t>
        </is>
      </c>
      <c r="H55" s="3">
        <f>SI(C55&gt;500;"⚠ Facture &gt; 500 € — à relancer";"")</f>
        <v/>
      </c>
      <c r="I55" s="2">
        <f>SOMME($C$2:$C$120)-SOMME.SI($C$2:$C$120;$G$2:$G$120;"Oui")</f>
        <v/>
      </c>
      <c r="J55" s="3">
        <f>SI(I55&gt;500;"⚠ ENVOYER MESSAGE PAIEMENT";"")</f>
        <v/>
      </c>
      <c r="K55" t="inlineStr">
        <is>
          <t>Non</t>
        </is>
      </c>
      <c r="L55" t="inlineStr"/>
    </row>
    <row r="56">
      <c r="C56" s="6" t="n">
        <v>0</v>
      </c>
      <c r="D56" s="6" t="n">
        <v>0</v>
      </c>
      <c r="E56" s="7">
        <f>SOMME($D$2:D56)-SOMME($C$2:C56)</f>
        <v/>
      </c>
      <c r="F56" s="3">
        <f>SI(E56&lt;=0;"⚠ SOLDE ÉPUISÉ — faire verser 500 €";"")</f>
        <v/>
      </c>
      <c r="G56" t="inlineStr">
        <is>
          <t>Non</t>
        </is>
      </c>
      <c r="H56" s="3">
        <f>SI(C56&gt;500;"⚠ Facture &gt; 500 € — à relancer";"")</f>
        <v/>
      </c>
      <c r="I56" s="2">
        <f>SOMME($C$2:$C$120)-SOMME.SI($C$2:$C$120;$G$2:$G$120;"Oui")</f>
        <v/>
      </c>
      <c r="J56" s="3">
        <f>SI(I56&gt;500;"⚠ ENVOYER MESSAGE PAIEMENT";"")</f>
        <v/>
      </c>
      <c r="K56" t="inlineStr">
        <is>
          <t>Non</t>
        </is>
      </c>
      <c r="L56" t="inlineStr"/>
    </row>
    <row r="57">
      <c r="C57" s="6" t="n">
        <v>0</v>
      </c>
      <c r="D57" s="6" t="n">
        <v>0</v>
      </c>
      <c r="E57" s="7">
        <f>SOMME($D$2:D57)-SOMME($C$2:C57)</f>
        <v/>
      </c>
      <c r="F57" s="3">
        <f>SI(E57&lt;=0;"⚠ SOLDE ÉPUISÉ — faire verser 500 €";"")</f>
        <v/>
      </c>
      <c r="G57" t="inlineStr">
        <is>
          <t>Non</t>
        </is>
      </c>
      <c r="H57" s="3">
        <f>SI(C57&gt;500;"⚠ Facture &gt; 500 € — à relancer";"")</f>
        <v/>
      </c>
      <c r="I57" s="2">
        <f>SOMME($C$2:$C$120)-SOMME.SI($C$2:$C$120;$G$2:$G$120;"Oui")</f>
        <v/>
      </c>
      <c r="J57" s="3">
        <f>SI(I57&gt;500;"⚠ ENVOYER MESSAGE PAIEMENT";"")</f>
        <v/>
      </c>
      <c r="K57" t="inlineStr">
        <is>
          <t>Non</t>
        </is>
      </c>
      <c r="L57" t="inlineStr"/>
    </row>
    <row r="58">
      <c r="C58" s="6" t="n">
        <v>0</v>
      </c>
      <c r="D58" s="6" t="n">
        <v>0</v>
      </c>
      <c r="E58" s="7">
        <f>SOMME($D$2:D58)-SOMME($C$2:C58)</f>
        <v/>
      </c>
      <c r="F58" s="3">
        <f>SI(E58&lt;=0;"⚠ SOLDE ÉPUISÉ — faire verser 500 €";"")</f>
        <v/>
      </c>
      <c r="G58" t="inlineStr">
        <is>
          <t>Non</t>
        </is>
      </c>
      <c r="H58" s="3">
        <f>SI(C58&gt;500;"⚠ Facture &gt; 500 € — à relancer";"")</f>
        <v/>
      </c>
      <c r="I58" s="2">
        <f>SOMME($C$2:$C$120)-SOMME.SI($C$2:$C$120;$G$2:$G$120;"Oui")</f>
        <v/>
      </c>
      <c r="J58" s="3">
        <f>SI(I58&gt;500;"⚠ ENVOYER MESSAGE PAIEMENT";"")</f>
        <v/>
      </c>
      <c r="K58" t="inlineStr">
        <is>
          <t>Non</t>
        </is>
      </c>
      <c r="L58" t="inlineStr"/>
    </row>
    <row r="59">
      <c r="C59" s="6" t="n">
        <v>0</v>
      </c>
      <c r="D59" s="6" t="n">
        <v>0</v>
      </c>
      <c r="E59" s="7">
        <f>SOMME($D$2:D59)-SOMME($C$2:C59)</f>
        <v/>
      </c>
      <c r="F59" s="3">
        <f>SI(E59&lt;=0;"⚠ SOLDE ÉPUISÉ — faire verser 500 €";"")</f>
        <v/>
      </c>
      <c r="G59" t="inlineStr">
        <is>
          <t>Non</t>
        </is>
      </c>
      <c r="H59" s="3">
        <f>SI(C59&gt;500;"⚠ Facture &gt; 500 € — à relancer";"")</f>
        <v/>
      </c>
      <c r="I59" s="2">
        <f>SOMME($C$2:$C$120)-SOMME.SI($C$2:$C$120;$G$2:$G$120;"Oui")</f>
        <v/>
      </c>
      <c r="J59" s="3">
        <f>SI(I59&gt;500;"⚠ ENVOYER MESSAGE PAIEMENT";"")</f>
        <v/>
      </c>
      <c r="K59" t="inlineStr">
        <is>
          <t>Non</t>
        </is>
      </c>
      <c r="L59" t="inlineStr"/>
    </row>
    <row r="60">
      <c r="C60" s="6" t="n">
        <v>0</v>
      </c>
      <c r="D60" s="6" t="n">
        <v>0</v>
      </c>
      <c r="E60" s="7">
        <f>SOMME($D$2:D60)-SOMME($C$2:C60)</f>
        <v/>
      </c>
      <c r="F60" s="3">
        <f>SI(E60&lt;=0;"⚠ SOLDE ÉPUISÉ — faire verser 500 €";"")</f>
        <v/>
      </c>
      <c r="G60" t="inlineStr">
        <is>
          <t>Non</t>
        </is>
      </c>
      <c r="H60" s="3">
        <f>SI(C60&gt;500;"⚠ Facture &gt; 500 € — à relancer";"")</f>
        <v/>
      </c>
      <c r="I60" s="2">
        <f>SOMME($C$2:$C$120)-SOMME.SI($C$2:$C$120;$G$2:$G$120;"Oui")</f>
        <v/>
      </c>
      <c r="J60" s="3">
        <f>SI(I60&gt;500;"⚠ ENVOYER MESSAGE PAIEMENT";"")</f>
        <v/>
      </c>
      <c r="K60" t="inlineStr">
        <is>
          <t>Non</t>
        </is>
      </c>
      <c r="L60" t="inlineStr"/>
    </row>
    <row r="61">
      <c r="C61" s="6" t="n">
        <v>0</v>
      </c>
      <c r="D61" s="6" t="n">
        <v>0</v>
      </c>
      <c r="E61" s="7">
        <f>SOMME($D$2:D61)-SOMME($C$2:C61)</f>
        <v/>
      </c>
      <c r="F61" s="3">
        <f>SI(E61&lt;=0;"⚠ SOLDE ÉPUISÉ — faire verser 500 €";"")</f>
        <v/>
      </c>
      <c r="G61" t="inlineStr">
        <is>
          <t>Non</t>
        </is>
      </c>
      <c r="H61" s="3">
        <f>SI(C61&gt;500;"⚠ Facture &gt; 500 € — à relancer";"")</f>
        <v/>
      </c>
      <c r="I61" s="2">
        <f>SOMME($C$2:$C$120)-SOMME.SI($C$2:$C$120;$G$2:$G$120;"Oui")</f>
        <v/>
      </c>
      <c r="J61" s="3">
        <f>SI(I61&gt;500;"⚠ ENVOYER MESSAGE PAIEMENT";"")</f>
        <v/>
      </c>
      <c r="K61" t="inlineStr">
        <is>
          <t>Non</t>
        </is>
      </c>
      <c r="L61" t="inlineStr"/>
    </row>
    <row r="62">
      <c r="C62" s="6" t="n">
        <v>0</v>
      </c>
      <c r="D62" s="6" t="n">
        <v>0</v>
      </c>
      <c r="E62" s="7">
        <f>SOMME($D$2:D62)-SOMME($C$2:C62)</f>
        <v/>
      </c>
      <c r="F62" s="3">
        <f>SI(E62&lt;=0;"⚠ SOLDE ÉPUISÉ — faire verser 500 €";"")</f>
        <v/>
      </c>
      <c r="G62" t="inlineStr">
        <is>
          <t>Non</t>
        </is>
      </c>
      <c r="H62" s="3">
        <f>SI(C62&gt;500;"⚠ Facture &gt; 500 € — à relancer";"")</f>
        <v/>
      </c>
      <c r="I62" s="2">
        <f>SOMME($C$2:$C$120)-SOMME.SI($C$2:$C$120;$G$2:$G$120;"Oui")</f>
        <v/>
      </c>
      <c r="J62" s="3">
        <f>SI(I62&gt;500;"⚠ ENVOYER MESSAGE PAIEMENT";"")</f>
        <v/>
      </c>
      <c r="K62" t="inlineStr">
        <is>
          <t>Non</t>
        </is>
      </c>
      <c r="L62" t="inlineStr"/>
    </row>
    <row r="63">
      <c r="C63" s="6" t="n">
        <v>0</v>
      </c>
      <c r="D63" s="6" t="n">
        <v>0</v>
      </c>
      <c r="E63" s="7">
        <f>SOMME($D$2:D63)-SOMME($C$2:C63)</f>
        <v/>
      </c>
      <c r="F63" s="3">
        <f>SI(E63&lt;=0;"⚠ SOLDE ÉPUISÉ — faire verser 500 €";"")</f>
        <v/>
      </c>
      <c r="G63" t="inlineStr">
        <is>
          <t>Non</t>
        </is>
      </c>
      <c r="H63" s="3">
        <f>SI(C63&gt;500;"⚠ Facture &gt; 500 € — à relancer";"")</f>
        <v/>
      </c>
      <c r="I63" s="2">
        <f>SOMME($C$2:$C$120)-SOMME.SI($C$2:$C$120;$G$2:$G$120;"Oui")</f>
        <v/>
      </c>
      <c r="J63" s="3">
        <f>SI(I63&gt;500;"⚠ ENVOYER MESSAGE PAIEMENT";"")</f>
        <v/>
      </c>
      <c r="K63" t="inlineStr">
        <is>
          <t>Non</t>
        </is>
      </c>
      <c r="L63" t="inlineStr"/>
    </row>
    <row r="64">
      <c r="C64" s="6" t="n">
        <v>0</v>
      </c>
      <c r="D64" s="6" t="n">
        <v>0</v>
      </c>
      <c r="E64" s="7">
        <f>SOMME($D$2:D64)-SOMME($C$2:C64)</f>
        <v/>
      </c>
      <c r="F64" s="3">
        <f>SI(E64&lt;=0;"⚠ SOLDE ÉPUISÉ — faire verser 500 €";"")</f>
        <v/>
      </c>
      <c r="G64" t="inlineStr">
        <is>
          <t>Non</t>
        </is>
      </c>
      <c r="H64" s="3">
        <f>SI(C64&gt;500;"⚠ Facture &gt; 500 € — à relancer";"")</f>
        <v/>
      </c>
      <c r="I64" s="2">
        <f>SOMME($C$2:$C$120)-SOMME.SI($C$2:$C$120;$G$2:$G$120;"Oui")</f>
        <v/>
      </c>
      <c r="J64" s="3">
        <f>SI(I64&gt;500;"⚠ ENVOYER MESSAGE PAIEMENT";"")</f>
        <v/>
      </c>
      <c r="K64" t="inlineStr">
        <is>
          <t>Non</t>
        </is>
      </c>
      <c r="L64" t="inlineStr"/>
    </row>
    <row r="65">
      <c r="C65" s="6" t="n">
        <v>0</v>
      </c>
      <c r="D65" s="6" t="n">
        <v>0</v>
      </c>
      <c r="E65" s="7">
        <f>SOMME($D$2:D65)-SOMME($C$2:C65)</f>
        <v/>
      </c>
      <c r="F65" s="3">
        <f>SI(E65&lt;=0;"⚠ SOLDE ÉPUISÉ — faire verser 500 €";"")</f>
        <v/>
      </c>
      <c r="G65" t="inlineStr">
        <is>
          <t>Non</t>
        </is>
      </c>
      <c r="H65" s="3">
        <f>SI(C65&gt;500;"⚠ Facture &gt; 500 € — à relancer";"")</f>
        <v/>
      </c>
      <c r="I65" s="2">
        <f>SOMME($C$2:$C$120)-SOMME.SI($C$2:$C$120;$G$2:$G$120;"Oui")</f>
        <v/>
      </c>
      <c r="J65" s="3">
        <f>SI(I65&gt;500;"⚠ ENVOYER MESSAGE PAIEMENT";"")</f>
        <v/>
      </c>
      <c r="K65" t="inlineStr">
        <is>
          <t>Non</t>
        </is>
      </c>
      <c r="L65" t="inlineStr"/>
    </row>
    <row r="66">
      <c r="C66" s="6" t="n">
        <v>0</v>
      </c>
      <c r="D66" s="6" t="n">
        <v>0</v>
      </c>
      <c r="E66" s="7">
        <f>SOMME($D$2:D66)-SOMME($C$2:C66)</f>
        <v/>
      </c>
      <c r="F66" s="3">
        <f>SI(E66&lt;=0;"⚠ SOLDE ÉPUISÉ — faire verser 500 €";"")</f>
        <v/>
      </c>
      <c r="G66" t="inlineStr">
        <is>
          <t>Non</t>
        </is>
      </c>
      <c r="H66" s="3">
        <f>SI(C66&gt;500;"⚠ Facture &gt; 500 € — à relancer";"")</f>
        <v/>
      </c>
      <c r="I66" s="2">
        <f>SOMME($C$2:$C$120)-SOMME.SI($C$2:$C$120;$G$2:$G$120;"Oui")</f>
        <v/>
      </c>
      <c r="J66" s="3">
        <f>SI(I66&gt;500;"⚠ ENVOYER MESSAGE PAIEMENT";"")</f>
        <v/>
      </c>
      <c r="K66" t="inlineStr">
        <is>
          <t>Non</t>
        </is>
      </c>
      <c r="L66" t="inlineStr"/>
    </row>
    <row r="67">
      <c r="C67" s="6" t="n">
        <v>0</v>
      </c>
      <c r="D67" s="6" t="n">
        <v>0</v>
      </c>
      <c r="E67" s="7">
        <f>SOMME($D$2:D67)-SOMME($C$2:C67)</f>
        <v/>
      </c>
      <c r="F67" s="3">
        <f>SI(E67&lt;=0;"⚠ SOLDE ÉPUISÉ — faire verser 500 €";"")</f>
        <v/>
      </c>
      <c r="G67" t="inlineStr">
        <is>
          <t>Non</t>
        </is>
      </c>
      <c r="H67" s="3">
        <f>SI(C67&gt;500;"⚠ Facture &gt; 500 € — à relancer";"")</f>
        <v/>
      </c>
      <c r="I67" s="2">
        <f>SOMME($C$2:$C$120)-SOMME.SI($C$2:$C$120;$G$2:$G$120;"Oui")</f>
        <v/>
      </c>
      <c r="J67" s="3">
        <f>SI(I67&gt;500;"⚠ ENVOYER MESSAGE PAIEMENT";"")</f>
        <v/>
      </c>
      <c r="K67" t="inlineStr">
        <is>
          <t>Non</t>
        </is>
      </c>
      <c r="L67" t="inlineStr"/>
    </row>
    <row r="68">
      <c r="C68" s="6" t="n">
        <v>0</v>
      </c>
      <c r="D68" s="6" t="n">
        <v>0</v>
      </c>
      <c r="E68" s="7">
        <f>SOMME($D$2:D68)-SOMME($C$2:C68)</f>
        <v/>
      </c>
      <c r="F68" s="3">
        <f>SI(E68&lt;=0;"⚠ SOLDE ÉPUISÉ — faire verser 500 €";"")</f>
        <v/>
      </c>
      <c r="G68" t="inlineStr">
        <is>
          <t>Non</t>
        </is>
      </c>
      <c r="H68" s="3">
        <f>SI(C68&gt;500;"⚠ Facture &gt; 500 € — à relancer";"")</f>
        <v/>
      </c>
      <c r="I68" s="2">
        <f>SOMME($C$2:$C$120)-SOMME.SI($C$2:$C$120;$G$2:$G$120;"Oui")</f>
        <v/>
      </c>
      <c r="J68" s="3">
        <f>SI(I68&gt;500;"⚠ ENVOYER MESSAGE PAIEMENT";"")</f>
        <v/>
      </c>
      <c r="K68" t="inlineStr">
        <is>
          <t>Non</t>
        </is>
      </c>
      <c r="L68" t="inlineStr"/>
    </row>
    <row r="69">
      <c r="C69" s="6" t="n">
        <v>0</v>
      </c>
      <c r="D69" s="6" t="n">
        <v>0</v>
      </c>
      <c r="E69" s="7">
        <f>SOMME($D$2:D69)-SOMME($C$2:C69)</f>
        <v/>
      </c>
      <c r="F69" s="3">
        <f>SI(E69&lt;=0;"⚠ SOLDE ÉPUISÉ — faire verser 500 €";"")</f>
        <v/>
      </c>
      <c r="G69" t="inlineStr">
        <is>
          <t>Non</t>
        </is>
      </c>
      <c r="H69" s="3">
        <f>SI(C69&gt;500;"⚠ Facture &gt; 500 € — à relancer";"")</f>
        <v/>
      </c>
      <c r="I69" s="2">
        <f>SOMME($C$2:$C$120)-SOMME.SI($C$2:$C$120;$G$2:$G$120;"Oui")</f>
        <v/>
      </c>
      <c r="J69" s="3">
        <f>SI(I69&gt;500;"⚠ ENVOYER MESSAGE PAIEMENT";"")</f>
        <v/>
      </c>
      <c r="K69" t="inlineStr">
        <is>
          <t>Non</t>
        </is>
      </c>
      <c r="L69" t="inlineStr"/>
    </row>
    <row r="70">
      <c r="C70" s="6" t="n">
        <v>0</v>
      </c>
      <c r="D70" s="6" t="n">
        <v>0</v>
      </c>
      <c r="E70" s="7">
        <f>SOMME($D$2:D70)-SOMME($C$2:C70)</f>
        <v/>
      </c>
      <c r="F70" s="3">
        <f>SI(E70&lt;=0;"⚠ SOLDE ÉPUISÉ — faire verser 500 €";"")</f>
        <v/>
      </c>
      <c r="G70" t="inlineStr">
        <is>
          <t>Non</t>
        </is>
      </c>
      <c r="H70" s="3">
        <f>SI(C70&gt;500;"⚠ Facture &gt; 500 € — à relancer";"")</f>
        <v/>
      </c>
      <c r="I70" s="2">
        <f>SOMME($C$2:$C$120)-SOMME.SI($C$2:$C$120;$G$2:$G$120;"Oui")</f>
        <v/>
      </c>
      <c r="J70" s="3">
        <f>SI(I70&gt;500;"⚠ ENVOYER MESSAGE PAIEMENT";"")</f>
        <v/>
      </c>
      <c r="K70" t="inlineStr">
        <is>
          <t>Non</t>
        </is>
      </c>
      <c r="L70" t="inlineStr"/>
    </row>
    <row r="71">
      <c r="C71" s="6" t="n">
        <v>0</v>
      </c>
      <c r="D71" s="6" t="n">
        <v>0</v>
      </c>
      <c r="E71" s="7">
        <f>SOMME($D$2:D71)-SOMME($C$2:C71)</f>
        <v/>
      </c>
      <c r="F71" s="3">
        <f>SI(E71&lt;=0;"⚠ SOLDE ÉPUISÉ — faire verser 500 €";"")</f>
        <v/>
      </c>
      <c r="G71" t="inlineStr">
        <is>
          <t>Non</t>
        </is>
      </c>
      <c r="H71" s="3">
        <f>SI(C71&gt;500;"⚠ Facture &gt; 500 € — à relancer";"")</f>
        <v/>
      </c>
      <c r="I71" s="2">
        <f>SOMME($C$2:$C$120)-SOMME.SI($C$2:$C$120;$G$2:$G$120;"Oui")</f>
        <v/>
      </c>
      <c r="J71" s="3">
        <f>SI(I71&gt;500;"⚠ ENVOYER MESSAGE PAIEMENT";"")</f>
        <v/>
      </c>
      <c r="K71" t="inlineStr">
        <is>
          <t>Non</t>
        </is>
      </c>
      <c r="L71" t="inlineStr"/>
    </row>
    <row r="72">
      <c r="C72" s="6" t="n">
        <v>0</v>
      </c>
      <c r="D72" s="6" t="n">
        <v>0</v>
      </c>
      <c r="E72" s="7">
        <f>SOMME($D$2:D72)-SOMME($C$2:C72)</f>
        <v/>
      </c>
      <c r="F72" s="3">
        <f>SI(E72&lt;=0;"⚠ SOLDE ÉPUISÉ — faire verser 500 €";"")</f>
        <v/>
      </c>
      <c r="G72" t="inlineStr">
        <is>
          <t>Non</t>
        </is>
      </c>
      <c r="H72" s="3">
        <f>SI(C72&gt;500;"⚠ Facture &gt; 500 € — à relancer";"")</f>
        <v/>
      </c>
      <c r="I72" s="2">
        <f>SOMME($C$2:$C$120)-SOMME.SI($C$2:$C$120;$G$2:$G$120;"Oui")</f>
        <v/>
      </c>
      <c r="J72" s="3">
        <f>SI(I72&gt;500;"⚠ ENVOYER MESSAGE PAIEMENT";"")</f>
        <v/>
      </c>
      <c r="K72" t="inlineStr">
        <is>
          <t>Non</t>
        </is>
      </c>
      <c r="L72" t="inlineStr"/>
    </row>
    <row r="73">
      <c r="C73" s="6" t="n">
        <v>0</v>
      </c>
      <c r="D73" s="6" t="n">
        <v>0</v>
      </c>
      <c r="E73" s="7">
        <f>SOMME($D$2:D73)-SOMME($C$2:C73)</f>
        <v/>
      </c>
      <c r="F73" s="3">
        <f>SI(E73&lt;=0;"⚠ SOLDE ÉPUISÉ — faire verser 500 €";"")</f>
        <v/>
      </c>
      <c r="G73" t="inlineStr">
        <is>
          <t>Non</t>
        </is>
      </c>
      <c r="H73" s="3">
        <f>SI(C73&gt;500;"⚠ Facture &gt; 500 € — à relancer";"")</f>
        <v/>
      </c>
      <c r="I73" s="2">
        <f>SOMME($C$2:$C$120)-SOMME.SI($C$2:$C$120;$G$2:$G$120;"Oui")</f>
        <v/>
      </c>
      <c r="J73" s="3">
        <f>SI(I73&gt;500;"⚠ ENVOYER MESSAGE PAIEMENT";"")</f>
        <v/>
      </c>
      <c r="K73" t="inlineStr">
        <is>
          <t>Non</t>
        </is>
      </c>
      <c r="L73" t="inlineStr"/>
    </row>
    <row r="74">
      <c r="C74" s="6" t="n">
        <v>0</v>
      </c>
      <c r="D74" s="6" t="n">
        <v>0</v>
      </c>
      <c r="E74" s="7">
        <f>SOMME($D$2:D74)-SOMME($C$2:C74)</f>
        <v/>
      </c>
      <c r="F74" s="3">
        <f>SI(E74&lt;=0;"⚠ SOLDE ÉPUISÉ — faire verser 500 €";"")</f>
        <v/>
      </c>
      <c r="G74" t="inlineStr">
        <is>
          <t>Non</t>
        </is>
      </c>
      <c r="H74" s="3">
        <f>SI(C74&gt;500;"⚠ Facture &gt; 500 € — à relancer";"")</f>
        <v/>
      </c>
      <c r="I74" s="2">
        <f>SOMME($C$2:$C$120)-SOMME.SI($C$2:$C$120;$G$2:$G$120;"Oui")</f>
        <v/>
      </c>
      <c r="J74" s="3">
        <f>SI(I74&gt;500;"⚠ ENVOYER MESSAGE PAIEMENT";"")</f>
        <v/>
      </c>
      <c r="K74" t="inlineStr">
        <is>
          <t>Non</t>
        </is>
      </c>
      <c r="L74" t="inlineStr"/>
    </row>
    <row r="75">
      <c r="C75" s="6" t="n">
        <v>0</v>
      </c>
      <c r="D75" s="6" t="n">
        <v>0</v>
      </c>
      <c r="E75" s="7">
        <f>SOMME($D$2:D75)-SOMME($C$2:C75)</f>
        <v/>
      </c>
      <c r="F75" s="3">
        <f>SI(E75&lt;=0;"⚠ SOLDE ÉPUISÉ — faire verser 500 €";"")</f>
        <v/>
      </c>
      <c r="G75" t="inlineStr">
        <is>
          <t>Non</t>
        </is>
      </c>
      <c r="H75" s="3">
        <f>SI(C75&gt;500;"⚠ Facture &gt; 500 € — à relancer";"")</f>
        <v/>
      </c>
      <c r="I75" s="2">
        <f>SOMME($C$2:$C$120)-SOMME.SI($C$2:$C$120;$G$2:$G$120;"Oui")</f>
        <v/>
      </c>
      <c r="J75" s="3">
        <f>SI(I75&gt;500;"⚠ ENVOYER MESSAGE PAIEMENT";"")</f>
        <v/>
      </c>
      <c r="K75" t="inlineStr">
        <is>
          <t>Non</t>
        </is>
      </c>
      <c r="L75" t="inlineStr"/>
    </row>
    <row r="76">
      <c r="C76" s="6" t="n">
        <v>0</v>
      </c>
      <c r="D76" s="6" t="n">
        <v>0</v>
      </c>
      <c r="E76" s="7">
        <f>SOMME($D$2:D76)-SOMME($C$2:C76)</f>
        <v/>
      </c>
      <c r="F76" s="3">
        <f>SI(E76&lt;=0;"⚠ SOLDE ÉPUISÉ — faire verser 500 €";"")</f>
        <v/>
      </c>
      <c r="G76" t="inlineStr">
        <is>
          <t>Non</t>
        </is>
      </c>
      <c r="H76" s="3">
        <f>SI(C76&gt;500;"⚠ Facture &gt; 500 € — à relancer";"")</f>
        <v/>
      </c>
      <c r="I76" s="2">
        <f>SOMME($C$2:$C$120)-SOMME.SI($C$2:$C$120;$G$2:$G$120;"Oui")</f>
        <v/>
      </c>
      <c r="J76" s="3">
        <f>SI(I76&gt;500;"⚠ ENVOYER MESSAGE PAIEMENT";"")</f>
        <v/>
      </c>
      <c r="K76" t="inlineStr">
        <is>
          <t>Non</t>
        </is>
      </c>
      <c r="L76" t="inlineStr"/>
    </row>
    <row r="77">
      <c r="C77" s="6" t="n">
        <v>0</v>
      </c>
      <c r="D77" s="6" t="n">
        <v>0</v>
      </c>
      <c r="E77" s="7">
        <f>SOMME($D$2:D77)-SOMME($C$2:C77)</f>
        <v/>
      </c>
      <c r="F77" s="3">
        <f>SI(E77&lt;=0;"⚠ SOLDE ÉPUISÉ — faire verser 500 €";"")</f>
        <v/>
      </c>
      <c r="G77" t="inlineStr">
        <is>
          <t>Non</t>
        </is>
      </c>
      <c r="H77" s="3">
        <f>SI(C77&gt;500;"⚠ Facture &gt; 500 € — à relancer";"")</f>
        <v/>
      </c>
      <c r="I77" s="2">
        <f>SOMME($C$2:$C$120)-SOMME.SI($C$2:$C$120;$G$2:$G$120;"Oui")</f>
        <v/>
      </c>
      <c r="J77" s="3">
        <f>SI(I77&gt;500;"⚠ ENVOYER MESSAGE PAIEMENT";"")</f>
        <v/>
      </c>
      <c r="K77" t="inlineStr">
        <is>
          <t>Non</t>
        </is>
      </c>
      <c r="L77" t="inlineStr"/>
    </row>
    <row r="78">
      <c r="C78" s="6" t="n">
        <v>0</v>
      </c>
      <c r="D78" s="6" t="n">
        <v>0</v>
      </c>
      <c r="E78" s="7">
        <f>SOMME($D$2:D78)-SOMME($C$2:C78)</f>
        <v/>
      </c>
      <c r="F78" s="3">
        <f>SI(E78&lt;=0;"⚠ SOLDE ÉPUISÉ — faire verser 500 €";"")</f>
        <v/>
      </c>
      <c r="G78" t="inlineStr">
        <is>
          <t>Non</t>
        </is>
      </c>
      <c r="H78" s="3">
        <f>SI(C78&gt;500;"⚠ Facture &gt; 500 € — à relancer";"")</f>
        <v/>
      </c>
      <c r="I78" s="2">
        <f>SOMME($C$2:$C$120)-SOMME.SI($C$2:$C$120;$G$2:$G$120;"Oui")</f>
        <v/>
      </c>
      <c r="J78" s="3">
        <f>SI(I78&gt;500;"⚠ ENVOYER MESSAGE PAIEMENT";"")</f>
        <v/>
      </c>
      <c r="K78" t="inlineStr">
        <is>
          <t>Non</t>
        </is>
      </c>
      <c r="L78" t="inlineStr"/>
    </row>
    <row r="79">
      <c r="C79" s="6" t="n">
        <v>0</v>
      </c>
      <c r="D79" s="6" t="n">
        <v>0</v>
      </c>
      <c r="E79" s="7">
        <f>SOMME($D$2:D79)-SOMME($C$2:C79)</f>
        <v/>
      </c>
      <c r="F79" s="3">
        <f>SI(E79&lt;=0;"⚠ SOLDE ÉPUISÉ — faire verser 500 €";"")</f>
        <v/>
      </c>
      <c r="G79" t="inlineStr">
        <is>
          <t>Non</t>
        </is>
      </c>
      <c r="H79" s="3">
        <f>SI(C79&gt;500;"⚠ Facture &gt; 500 € — à relancer";"")</f>
        <v/>
      </c>
      <c r="I79" s="2">
        <f>SOMME($C$2:$C$120)-SOMME.SI($C$2:$C$120;$G$2:$G$120;"Oui")</f>
        <v/>
      </c>
      <c r="J79" s="3">
        <f>SI(I79&gt;500;"⚠ ENVOYER MESSAGE PAIEMENT";"")</f>
        <v/>
      </c>
      <c r="K79" t="inlineStr">
        <is>
          <t>Non</t>
        </is>
      </c>
      <c r="L79" t="inlineStr"/>
    </row>
    <row r="80">
      <c r="C80" s="6" t="n">
        <v>0</v>
      </c>
      <c r="D80" s="6" t="n">
        <v>0</v>
      </c>
      <c r="E80" s="7">
        <f>SOMME($D$2:D80)-SOMME($C$2:C80)</f>
        <v/>
      </c>
      <c r="F80" s="3">
        <f>SI(E80&lt;=0;"⚠ SOLDE ÉPUISÉ — faire verser 500 €";"")</f>
        <v/>
      </c>
      <c r="G80" t="inlineStr">
        <is>
          <t>Non</t>
        </is>
      </c>
      <c r="H80" s="3">
        <f>SI(C80&gt;500;"⚠ Facture &gt; 500 € — à relancer";"")</f>
        <v/>
      </c>
      <c r="I80" s="2">
        <f>SOMME($C$2:$C$120)-SOMME.SI($C$2:$C$120;$G$2:$G$120;"Oui")</f>
        <v/>
      </c>
      <c r="J80" s="3">
        <f>SI(I80&gt;500;"⚠ ENVOYER MESSAGE PAIEMENT";"")</f>
        <v/>
      </c>
      <c r="K80" t="inlineStr">
        <is>
          <t>Non</t>
        </is>
      </c>
      <c r="L80" t="inlineStr"/>
    </row>
    <row r="81">
      <c r="C81" s="6" t="n">
        <v>0</v>
      </c>
      <c r="D81" s="6" t="n">
        <v>0</v>
      </c>
      <c r="E81" s="7">
        <f>SOMME($D$2:D81)-SOMME($C$2:C81)</f>
        <v/>
      </c>
      <c r="F81" s="3">
        <f>SI(E81&lt;=0;"⚠ SOLDE ÉPUISÉ — faire verser 500 €";"")</f>
        <v/>
      </c>
      <c r="G81" t="inlineStr">
        <is>
          <t>Non</t>
        </is>
      </c>
      <c r="H81" s="3">
        <f>SI(C81&gt;500;"⚠ Facture &gt; 500 € — à relancer";"")</f>
        <v/>
      </c>
      <c r="I81" s="2">
        <f>SOMME($C$2:$C$120)-SOMME.SI($C$2:$C$120;$G$2:$G$120;"Oui")</f>
        <v/>
      </c>
      <c r="J81" s="3">
        <f>SI(I81&gt;500;"⚠ ENVOYER MESSAGE PAIEMENT";"")</f>
        <v/>
      </c>
      <c r="K81" t="inlineStr">
        <is>
          <t>Non</t>
        </is>
      </c>
      <c r="L81" t="inlineStr"/>
    </row>
    <row r="82">
      <c r="C82" s="6" t="n">
        <v>0</v>
      </c>
      <c r="D82" s="6" t="n">
        <v>0</v>
      </c>
      <c r="E82" s="7">
        <f>SOMME($D$2:D82)-SOMME($C$2:C82)</f>
        <v/>
      </c>
      <c r="F82" s="3">
        <f>SI(E82&lt;=0;"⚠ SOLDE ÉPUISÉ — faire verser 500 €";"")</f>
        <v/>
      </c>
      <c r="G82" t="inlineStr">
        <is>
          <t>Non</t>
        </is>
      </c>
      <c r="H82" s="3">
        <f>SI(C82&gt;500;"⚠ Facture &gt; 500 € — à relancer";"")</f>
        <v/>
      </c>
      <c r="I82" s="2">
        <f>SOMME($C$2:$C$120)-SOMME.SI($C$2:$C$120;$G$2:$G$120;"Oui")</f>
        <v/>
      </c>
      <c r="J82" s="3">
        <f>SI(I82&gt;500;"⚠ ENVOYER MESSAGE PAIEMENT";"")</f>
        <v/>
      </c>
      <c r="K82" t="inlineStr">
        <is>
          <t>Non</t>
        </is>
      </c>
      <c r="L82" t="inlineStr"/>
    </row>
    <row r="83">
      <c r="C83" s="6" t="n">
        <v>0</v>
      </c>
      <c r="D83" s="6" t="n">
        <v>0</v>
      </c>
      <c r="E83" s="7">
        <f>SOMME($D$2:D83)-SOMME($C$2:C83)</f>
        <v/>
      </c>
      <c r="F83" s="3">
        <f>SI(E83&lt;=0;"⚠ SOLDE ÉPUISÉ — faire verser 500 €";"")</f>
        <v/>
      </c>
      <c r="G83" t="inlineStr">
        <is>
          <t>Non</t>
        </is>
      </c>
      <c r="H83" s="3">
        <f>SI(C83&gt;500;"⚠ Facture &gt; 500 € — à relancer";"")</f>
        <v/>
      </c>
      <c r="I83" s="2">
        <f>SOMME($C$2:$C$120)-SOMME.SI($C$2:$C$120;$G$2:$G$120;"Oui")</f>
        <v/>
      </c>
      <c r="J83" s="3">
        <f>SI(I83&gt;500;"⚠ ENVOYER MESSAGE PAIEMENT";"")</f>
        <v/>
      </c>
      <c r="K83" t="inlineStr">
        <is>
          <t>Non</t>
        </is>
      </c>
      <c r="L83" t="inlineStr"/>
    </row>
    <row r="84">
      <c r="C84" s="6" t="n">
        <v>0</v>
      </c>
      <c r="D84" s="6" t="n">
        <v>0</v>
      </c>
      <c r="E84" s="7">
        <f>SOMME($D$2:D84)-SOMME($C$2:C84)</f>
        <v/>
      </c>
      <c r="F84" s="3">
        <f>SI(E84&lt;=0;"⚠ SOLDE ÉPUISÉ — faire verser 500 €";"")</f>
        <v/>
      </c>
      <c r="G84" t="inlineStr">
        <is>
          <t>Non</t>
        </is>
      </c>
      <c r="H84" s="3">
        <f>SI(C84&gt;500;"⚠ Facture &gt; 500 € — à relancer";"")</f>
        <v/>
      </c>
      <c r="I84" s="2">
        <f>SOMME($C$2:$C$120)-SOMME.SI($C$2:$C$120;$G$2:$G$120;"Oui")</f>
        <v/>
      </c>
      <c r="J84" s="3">
        <f>SI(I84&gt;500;"⚠ ENVOYER MESSAGE PAIEMENT";"")</f>
        <v/>
      </c>
      <c r="K84" t="inlineStr">
        <is>
          <t>Non</t>
        </is>
      </c>
      <c r="L84" t="inlineStr"/>
    </row>
    <row r="85">
      <c r="C85" s="6" t="n">
        <v>0</v>
      </c>
      <c r="D85" s="6" t="n">
        <v>0</v>
      </c>
      <c r="E85" s="7">
        <f>SOMME($D$2:D85)-SOMME($C$2:C85)</f>
        <v/>
      </c>
      <c r="F85" s="3">
        <f>SI(E85&lt;=0;"⚠ SOLDE ÉPUISÉ — faire verser 500 €";"")</f>
        <v/>
      </c>
      <c r="G85" t="inlineStr">
        <is>
          <t>Non</t>
        </is>
      </c>
      <c r="H85" s="3">
        <f>SI(C85&gt;500;"⚠ Facture &gt; 500 € — à relancer";"")</f>
        <v/>
      </c>
      <c r="I85" s="2">
        <f>SOMME($C$2:$C$120)-SOMME.SI($C$2:$C$120;$G$2:$G$120;"Oui")</f>
        <v/>
      </c>
      <c r="J85" s="3">
        <f>SI(I85&gt;500;"⚠ ENVOYER MESSAGE PAIEMENT";"")</f>
        <v/>
      </c>
      <c r="K85" t="inlineStr">
        <is>
          <t>Non</t>
        </is>
      </c>
      <c r="L85" t="inlineStr"/>
    </row>
    <row r="86">
      <c r="C86" s="6" t="n">
        <v>0</v>
      </c>
      <c r="D86" s="6" t="n">
        <v>0</v>
      </c>
      <c r="E86" s="7">
        <f>SOMME($D$2:D86)-SOMME($C$2:C86)</f>
        <v/>
      </c>
      <c r="F86" s="3">
        <f>SI(E86&lt;=0;"⚠ SOLDE ÉPUISÉ — faire verser 500 €";"")</f>
        <v/>
      </c>
      <c r="G86" t="inlineStr">
        <is>
          <t>Non</t>
        </is>
      </c>
      <c r="H86" s="3">
        <f>SI(C86&gt;500;"⚠ Facture &gt; 500 € — à relancer";"")</f>
        <v/>
      </c>
      <c r="I86" s="2">
        <f>SOMME($C$2:$C$120)-SOMME.SI($C$2:$C$120;$G$2:$G$120;"Oui")</f>
        <v/>
      </c>
      <c r="J86" s="3">
        <f>SI(I86&gt;500;"⚠ ENVOYER MESSAGE PAIEMENT";"")</f>
        <v/>
      </c>
      <c r="K86" t="inlineStr">
        <is>
          <t>Non</t>
        </is>
      </c>
      <c r="L86" t="inlineStr"/>
    </row>
    <row r="87">
      <c r="C87" s="6" t="n">
        <v>0</v>
      </c>
      <c r="D87" s="6" t="n">
        <v>0</v>
      </c>
      <c r="E87" s="7">
        <f>SOMME($D$2:D87)-SOMME($C$2:C87)</f>
        <v/>
      </c>
      <c r="F87" s="3">
        <f>SI(E87&lt;=0;"⚠ SOLDE ÉPUISÉ — faire verser 500 €";"")</f>
        <v/>
      </c>
      <c r="G87" t="inlineStr">
        <is>
          <t>Non</t>
        </is>
      </c>
      <c r="H87" s="3">
        <f>SI(C87&gt;500;"⚠ Facture &gt; 500 € — à relancer";"")</f>
        <v/>
      </c>
      <c r="I87" s="2">
        <f>SOMME($C$2:$C$120)-SOMME.SI($C$2:$C$120;$G$2:$G$120;"Oui")</f>
        <v/>
      </c>
      <c r="J87" s="3">
        <f>SI(I87&gt;500;"⚠ ENVOYER MESSAGE PAIEMENT";"")</f>
        <v/>
      </c>
      <c r="K87" t="inlineStr">
        <is>
          <t>Non</t>
        </is>
      </c>
      <c r="L87" t="inlineStr"/>
    </row>
    <row r="88">
      <c r="C88" s="6" t="n">
        <v>0</v>
      </c>
      <c r="D88" s="6" t="n">
        <v>0</v>
      </c>
      <c r="E88" s="7">
        <f>SOMME($D$2:D88)-SOMME($C$2:C88)</f>
        <v/>
      </c>
      <c r="F88" s="3">
        <f>SI(E88&lt;=0;"⚠ SOLDE ÉPUISÉ — faire verser 500 €";"")</f>
        <v/>
      </c>
      <c r="G88" t="inlineStr">
        <is>
          <t>Non</t>
        </is>
      </c>
      <c r="H88" s="3">
        <f>SI(C88&gt;500;"⚠ Facture &gt; 500 € — à relancer";"")</f>
        <v/>
      </c>
      <c r="I88" s="2">
        <f>SOMME($C$2:$C$120)-SOMME.SI($C$2:$C$120;$G$2:$G$120;"Oui")</f>
        <v/>
      </c>
      <c r="J88" s="3">
        <f>SI(I88&gt;500;"⚠ ENVOYER MESSAGE PAIEMENT";"")</f>
        <v/>
      </c>
      <c r="K88" t="inlineStr">
        <is>
          <t>Non</t>
        </is>
      </c>
      <c r="L88" t="inlineStr"/>
    </row>
    <row r="89">
      <c r="C89" s="6" t="n">
        <v>0</v>
      </c>
      <c r="D89" s="6" t="n">
        <v>0</v>
      </c>
      <c r="E89" s="7">
        <f>SOMME($D$2:D89)-SOMME($C$2:C89)</f>
        <v/>
      </c>
      <c r="F89" s="3">
        <f>SI(E89&lt;=0;"⚠ SOLDE ÉPUISÉ — faire verser 500 €";"")</f>
        <v/>
      </c>
      <c r="G89" t="inlineStr">
        <is>
          <t>Non</t>
        </is>
      </c>
      <c r="H89" s="3">
        <f>SI(C89&gt;500;"⚠ Facture &gt; 500 € — à relancer";"")</f>
        <v/>
      </c>
      <c r="I89" s="2">
        <f>SOMME($C$2:$C$120)-SOMME.SI($C$2:$C$120;$G$2:$G$120;"Oui")</f>
        <v/>
      </c>
      <c r="J89" s="3">
        <f>SI(I89&gt;500;"⚠ ENVOYER MESSAGE PAIEMENT";"")</f>
        <v/>
      </c>
      <c r="K89" t="inlineStr">
        <is>
          <t>Non</t>
        </is>
      </c>
      <c r="L89" t="inlineStr"/>
    </row>
    <row r="90">
      <c r="C90" s="6" t="n">
        <v>0</v>
      </c>
      <c r="D90" s="6" t="n">
        <v>0</v>
      </c>
      <c r="E90" s="7">
        <f>SOMME($D$2:D90)-SOMME($C$2:C90)</f>
        <v/>
      </c>
      <c r="F90" s="3">
        <f>SI(E90&lt;=0;"⚠ SOLDE ÉPUISÉ — faire verser 500 €";"")</f>
        <v/>
      </c>
      <c r="G90" t="inlineStr">
        <is>
          <t>Non</t>
        </is>
      </c>
      <c r="H90" s="3">
        <f>SI(C90&gt;500;"⚠ Facture &gt; 500 € — à relancer";"")</f>
        <v/>
      </c>
      <c r="I90" s="2">
        <f>SOMME($C$2:$C$120)-SOMME.SI($C$2:$C$120;$G$2:$G$120;"Oui")</f>
        <v/>
      </c>
      <c r="J90" s="3">
        <f>SI(I90&gt;500;"⚠ ENVOYER MESSAGE PAIEMENT";"")</f>
        <v/>
      </c>
      <c r="K90" t="inlineStr">
        <is>
          <t>Non</t>
        </is>
      </c>
      <c r="L90" t="inlineStr"/>
    </row>
    <row r="91">
      <c r="C91" s="6" t="n">
        <v>0</v>
      </c>
      <c r="D91" s="6" t="n">
        <v>0</v>
      </c>
      <c r="E91" s="7">
        <f>SOMME($D$2:D91)-SOMME($C$2:C91)</f>
        <v/>
      </c>
      <c r="F91" s="3">
        <f>SI(E91&lt;=0;"⚠ SOLDE ÉPUISÉ — faire verser 500 €";"")</f>
        <v/>
      </c>
      <c r="G91" t="inlineStr">
        <is>
          <t>Non</t>
        </is>
      </c>
      <c r="H91" s="3">
        <f>SI(C91&gt;500;"⚠ Facture &gt; 500 € — à relancer";"")</f>
        <v/>
      </c>
      <c r="I91" s="2">
        <f>SOMME($C$2:$C$120)-SOMME.SI($C$2:$C$120;$G$2:$G$120;"Oui")</f>
        <v/>
      </c>
      <c r="J91" s="3">
        <f>SI(I91&gt;500;"⚠ ENVOYER MESSAGE PAIEMENT";"")</f>
        <v/>
      </c>
      <c r="K91" t="inlineStr">
        <is>
          <t>Non</t>
        </is>
      </c>
      <c r="L91" t="inlineStr"/>
    </row>
    <row r="92">
      <c r="C92" s="6" t="n">
        <v>0</v>
      </c>
      <c r="D92" s="6" t="n">
        <v>0</v>
      </c>
      <c r="E92" s="7">
        <f>SOMME($D$2:D92)-SOMME($C$2:C92)</f>
        <v/>
      </c>
      <c r="F92" s="3">
        <f>SI(E92&lt;=0;"⚠ SOLDE ÉPUISÉ — faire verser 500 €";"")</f>
        <v/>
      </c>
      <c r="G92" t="inlineStr">
        <is>
          <t>Non</t>
        </is>
      </c>
      <c r="H92" s="3">
        <f>SI(C92&gt;500;"⚠ Facture &gt; 500 € — à relancer";"")</f>
        <v/>
      </c>
      <c r="I92" s="2">
        <f>SOMME($C$2:$C$120)-SOMME.SI($C$2:$C$120;$G$2:$G$120;"Oui")</f>
        <v/>
      </c>
      <c r="J92" s="3">
        <f>SI(I92&gt;500;"⚠ ENVOYER MESSAGE PAIEMENT";"")</f>
        <v/>
      </c>
      <c r="K92" t="inlineStr">
        <is>
          <t>Non</t>
        </is>
      </c>
      <c r="L92" t="inlineStr"/>
    </row>
    <row r="93">
      <c r="C93" s="6" t="n">
        <v>0</v>
      </c>
      <c r="D93" s="6" t="n">
        <v>0</v>
      </c>
      <c r="E93" s="7">
        <f>SOMME($D$2:D93)-SOMME($C$2:C93)</f>
        <v/>
      </c>
      <c r="F93" s="3">
        <f>SI(E93&lt;=0;"⚠ SOLDE ÉPUISÉ — faire verser 500 €";"")</f>
        <v/>
      </c>
      <c r="G93" t="inlineStr">
        <is>
          <t>Non</t>
        </is>
      </c>
      <c r="H93" s="3">
        <f>SI(C93&gt;500;"⚠ Facture &gt; 500 € — à relancer";"")</f>
        <v/>
      </c>
      <c r="I93" s="2">
        <f>SOMME($C$2:$C$120)-SOMME.SI($C$2:$C$120;$G$2:$G$120;"Oui")</f>
        <v/>
      </c>
      <c r="J93" s="3">
        <f>SI(I93&gt;500;"⚠ ENVOYER MESSAGE PAIEMENT";"")</f>
        <v/>
      </c>
      <c r="K93" t="inlineStr">
        <is>
          <t>Non</t>
        </is>
      </c>
      <c r="L93" t="inlineStr"/>
    </row>
    <row r="94">
      <c r="C94" s="6" t="n">
        <v>0</v>
      </c>
      <c r="D94" s="6" t="n">
        <v>0</v>
      </c>
      <c r="E94" s="7">
        <f>SOMME($D$2:D94)-SOMME($C$2:C94)</f>
        <v/>
      </c>
      <c r="F94" s="3">
        <f>SI(E94&lt;=0;"⚠ SOLDE ÉPUISÉ — faire verser 500 €";"")</f>
        <v/>
      </c>
      <c r="G94" t="inlineStr">
        <is>
          <t>Non</t>
        </is>
      </c>
      <c r="H94" s="3">
        <f>SI(C94&gt;500;"⚠ Facture &gt; 500 € — à relancer";"")</f>
        <v/>
      </c>
      <c r="I94" s="2">
        <f>SOMME($C$2:$C$120)-SOMME.SI($C$2:$C$120;$G$2:$G$120;"Oui")</f>
        <v/>
      </c>
      <c r="J94" s="3">
        <f>SI(I94&gt;500;"⚠ ENVOYER MESSAGE PAIEMENT";"")</f>
        <v/>
      </c>
      <c r="K94" t="inlineStr">
        <is>
          <t>Non</t>
        </is>
      </c>
      <c r="L94" t="inlineStr"/>
    </row>
    <row r="95">
      <c r="C95" s="6" t="n">
        <v>0</v>
      </c>
      <c r="D95" s="6" t="n">
        <v>0</v>
      </c>
      <c r="E95" s="7">
        <f>SOMME($D$2:D95)-SOMME($C$2:C95)</f>
        <v/>
      </c>
      <c r="F95" s="3">
        <f>SI(E95&lt;=0;"⚠ SOLDE ÉPUISÉ — faire verser 500 €";"")</f>
        <v/>
      </c>
      <c r="G95" t="inlineStr">
        <is>
          <t>Non</t>
        </is>
      </c>
      <c r="H95" s="3">
        <f>SI(C95&gt;500;"⚠ Facture &gt; 500 € — à relancer";"")</f>
        <v/>
      </c>
      <c r="I95" s="2">
        <f>SOMME($C$2:$C$120)-SOMME.SI($C$2:$C$120;$G$2:$G$120;"Oui")</f>
        <v/>
      </c>
      <c r="J95" s="3">
        <f>SI(I95&gt;500;"⚠ ENVOYER MESSAGE PAIEMENT";"")</f>
        <v/>
      </c>
      <c r="K95" t="inlineStr">
        <is>
          <t>Non</t>
        </is>
      </c>
      <c r="L95" t="inlineStr"/>
    </row>
    <row r="96">
      <c r="C96" s="6" t="n">
        <v>0</v>
      </c>
      <c r="D96" s="6" t="n">
        <v>0</v>
      </c>
      <c r="E96" s="7">
        <f>SOMME($D$2:D96)-SOMME($C$2:C96)</f>
        <v/>
      </c>
      <c r="F96" s="3">
        <f>SI(E96&lt;=0;"⚠ SOLDE ÉPUISÉ — faire verser 500 €";"")</f>
        <v/>
      </c>
      <c r="G96" t="inlineStr">
        <is>
          <t>Non</t>
        </is>
      </c>
      <c r="H96" s="3">
        <f>SI(C96&gt;500;"⚠ Facture &gt; 500 € — à relancer";"")</f>
        <v/>
      </c>
      <c r="I96" s="2">
        <f>SOMME($C$2:$C$120)-SOMME.SI($C$2:$C$120;$G$2:$G$120;"Oui")</f>
        <v/>
      </c>
      <c r="J96" s="3">
        <f>SI(I96&gt;500;"⚠ ENVOYER MESSAGE PAIEMENT";"")</f>
        <v/>
      </c>
      <c r="K96" t="inlineStr">
        <is>
          <t>Non</t>
        </is>
      </c>
      <c r="L96" t="inlineStr"/>
    </row>
    <row r="97">
      <c r="C97" s="6" t="n">
        <v>0</v>
      </c>
      <c r="D97" s="6" t="n">
        <v>0</v>
      </c>
      <c r="E97" s="7">
        <f>SOMME($D$2:D97)-SOMME($C$2:C97)</f>
        <v/>
      </c>
      <c r="F97" s="3">
        <f>SI(E97&lt;=0;"⚠ SOLDE ÉPUISÉ — faire verser 500 €";"")</f>
        <v/>
      </c>
      <c r="G97" t="inlineStr">
        <is>
          <t>Non</t>
        </is>
      </c>
      <c r="H97" s="3">
        <f>SI(C97&gt;500;"⚠ Facture &gt; 500 € — à relancer";"")</f>
        <v/>
      </c>
      <c r="I97" s="2">
        <f>SOMME($C$2:$C$120)-SOMME.SI($C$2:$C$120;$G$2:$G$120;"Oui")</f>
        <v/>
      </c>
      <c r="J97" s="3">
        <f>SI(I97&gt;500;"⚠ ENVOYER MESSAGE PAIEMENT";"")</f>
        <v/>
      </c>
      <c r="K97" t="inlineStr">
        <is>
          <t>Non</t>
        </is>
      </c>
      <c r="L97" t="inlineStr"/>
    </row>
    <row r="98">
      <c r="C98" s="6" t="n">
        <v>0</v>
      </c>
      <c r="D98" s="6" t="n">
        <v>0</v>
      </c>
      <c r="E98" s="7">
        <f>SOMME($D$2:D98)-SOMME($C$2:C98)</f>
        <v/>
      </c>
      <c r="F98" s="3">
        <f>SI(E98&lt;=0;"⚠ SOLDE ÉPUISÉ — faire verser 500 €";"")</f>
        <v/>
      </c>
      <c r="G98" t="inlineStr">
        <is>
          <t>Non</t>
        </is>
      </c>
      <c r="H98" s="3">
        <f>SI(C98&gt;500;"⚠ Facture &gt; 500 € — à relancer";"")</f>
        <v/>
      </c>
      <c r="I98" s="2">
        <f>SOMME($C$2:$C$120)-SOMME.SI($C$2:$C$120;$G$2:$G$120;"Oui")</f>
        <v/>
      </c>
      <c r="J98" s="3">
        <f>SI(I98&gt;500;"⚠ ENVOYER MESSAGE PAIEMENT";"")</f>
        <v/>
      </c>
      <c r="K98" t="inlineStr">
        <is>
          <t>Non</t>
        </is>
      </c>
      <c r="L98" t="inlineStr"/>
    </row>
    <row r="99">
      <c r="C99" s="6" t="n">
        <v>0</v>
      </c>
      <c r="D99" s="6" t="n">
        <v>0</v>
      </c>
      <c r="E99" s="7">
        <f>SOMME($D$2:D99)-SOMME($C$2:C99)</f>
        <v/>
      </c>
      <c r="F99" s="3">
        <f>SI(E99&lt;=0;"⚠ SOLDE ÉPUISÉ — faire verser 500 €";"")</f>
        <v/>
      </c>
      <c r="G99" t="inlineStr">
        <is>
          <t>Non</t>
        </is>
      </c>
      <c r="H99" s="3">
        <f>SI(C99&gt;500;"⚠ Facture &gt; 500 € — à relancer";"")</f>
        <v/>
      </c>
      <c r="I99" s="2">
        <f>SOMME($C$2:$C$120)-SOMME.SI($C$2:$C$120;$G$2:$G$120;"Oui")</f>
        <v/>
      </c>
      <c r="J99" s="3">
        <f>SI(I99&gt;500;"⚠ ENVOYER MESSAGE PAIEMENT";"")</f>
        <v/>
      </c>
      <c r="K99" t="inlineStr">
        <is>
          <t>Non</t>
        </is>
      </c>
      <c r="L99" t="inlineStr"/>
    </row>
    <row r="100">
      <c r="C100" s="6" t="n">
        <v>0</v>
      </c>
      <c r="D100" s="6" t="n">
        <v>0</v>
      </c>
      <c r="E100" s="7">
        <f>SOMME($D$2:D100)-SOMME($C$2:C100)</f>
        <v/>
      </c>
      <c r="F100" s="3">
        <f>SI(E100&lt;=0;"⚠ SOLDE ÉPUISÉ — faire verser 500 €";"")</f>
        <v/>
      </c>
      <c r="G100" t="inlineStr">
        <is>
          <t>Non</t>
        </is>
      </c>
      <c r="H100" s="3">
        <f>SI(C100&gt;500;"⚠ Facture &gt; 500 € — à relancer";"")</f>
        <v/>
      </c>
      <c r="I100" s="2">
        <f>SOMME($C$2:$C$120)-SOMME.SI($C$2:$C$120;$G$2:$G$120;"Oui")</f>
        <v/>
      </c>
      <c r="J100" s="3">
        <f>SI(I100&gt;500;"⚠ ENVOYER MESSAGE PAIEMENT";"")</f>
        <v/>
      </c>
      <c r="K100" t="inlineStr">
        <is>
          <t>Non</t>
        </is>
      </c>
      <c r="L100" t="inlineStr"/>
    </row>
    <row r="101">
      <c r="C101" s="6" t="n">
        <v>0</v>
      </c>
      <c r="D101" s="6" t="n">
        <v>0</v>
      </c>
      <c r="E101" s="7">
        <f>SOMME($D$2:D101)-SOMME($C$2:C101)</f>
        <v/>
      </c>
      <c r="F101" s="3">
        <f>SI(E101&lt;=0;"⚠ SOLDE ÉPUISÉ — faire verser 500 €";"")</f>
        <v/>
      </c>
      <c r="G101" t="inlineStr">
        <is>
          <t>Non</t>
        </is>
      </c>
      <c r="H101" s="3">
        <f>SI(C101&gt;500;"⚠ Facture &gt; 500 € — à relancer";"")</f>
        <v/>
      </c>
      <c r="I101" s="2">
        <f>SOMME($C$2:$C$120)-SOMME.SI($C$2:$C$120;$G$2:$G$120;"Oui")</f>
        <v/>
      </c>
      <c r="J101" s="3">
        <f>SI(I101&gt;500;"⚠ ENVOYER MESSAGE PAIEMENT";"")</f>
        <v/>
      </c>
      <c r="K101" t="inlineStr">
        <is>
          <t>Non</t>
        </is>
      </c>
      <c r="L101" t="inlineStr"/>
    </row>
    <row r="102">
      <c r="C102" s="6" t="n">
        <v>0</v>
      </c>
      <c r="D102" s="6" t="n">
        <v>0</v>
      </c>
      <c r="E102" s="7">
        <f>SOMME($D$2:D102)-SOMME($C$2:C102)</f>
        <v/>
      </c>
      <c r="F102" s="3">
        <f>SI(E102&lt;=0;"⚠ SOLDE ÉPUISÉ — faire verser 500 €";"")</f>
        <v/>
      </c>
      <c r="G102" t="inlineStr">
        <is>
          <t>Non</t>
        </is>
      </c>
      <c r="H102" s="3">
        <f>SI(C102&gt;500;"⚠ Facture &gt; 500 € — à relancer";"")</f>
        <v/>
      </c>
      <c r="I102" s="2">
        <f>SOMME($C$2:$C$120)-SOMME.SI($C$2:$C$120;$G$2:$G$120;"Oui")</f>
        <v/>
      </c>
      <c r="J102" s="3">
        <f>SI(I102&gt;500;"⚠ ENVOYER MESSAGE PAIEMENT";"")</f>
        <v/>
      </c>
      <c r="K102" t="inlineStr">
        <is>
          <t>Non</t>
        </is>
      </c>
      <c r="L102" t="inlineStr"/>
    </row>
    <row r="103">
      <c r="C103" s="6" t="n">
        <v>0</v>
      </c>
      <c r="D103" s="6" t="n">
        <v>0</v>
      </c>
      <c r="E103" s="7">
        <f>SOMME($D$2:D103)-SOMME($C$2:C103)</f>
        <v/>
      </c>
      <c r="F103" s="3">
        <f>SI(E103&lt;=0;"⚠ SOLDE ÉPUISÉ — faire verser 500 €";"")</f>
        <v/>
      </c>
      <c r="G103" t="inlineStr">
        <is>
          <t>Non</t>
        </is>
      </c>
      <c r="H103" s="3">
        <f>SI(C103&gt;500;"⚠ Facture &gt; 500 € — à relancer";"")</f>
        <v/>
      </c>
      <c r="I103" s="2">
        <f>SOMME($C$2:$C$120)-SOMME.SI($C$2:$C$120;$G$2:$G$120;"Oui")</f>
        <v/>
      </c>
      <c r="J103" s="3">
        <f>SI(I103&gt;500;"⚠ ENVOYER MESSAGE PAIEMENT";"")</f>
        <v/>
      </c>
      <c r="K103" t="inlineStr">
        <is>
          <t>Non</t>
        </is>
      </c>
      <c r="L103" t="inlineStr"/>
    </row>
    <row r="104">
      <c r="C104" s="6" t="n">
        <v>0</v>
      </c>
      <c r="D104" s="6" t="n">
        <v>0</v>
      </c>
      <c r="E104" s="7">
        <f>SOMME($D$2:D104)-SOMME($C$2:C104)</f>
        <v/>
      </c>
      <c r="F104" s="3">
        <f>SI(E104&lt;=0;"⚠ SOLDE ÉPUISÉ — faire verser 500 €";"")</f>
        <v/>
      </c>
      <c r="G104" t="inlineStr">
        <is>
          <t>Non</t>
        </is>
      </c>
      <c r="H104" s="3">
        <f>SI(C104&gt;500;"⚠ Facture &gt; 500 € — à relancer";"")</f>
        <v/>
      </c>
      <c r="I104" s="2">
        <f>SOMME($C$2:$C$120)-SOMME.SI($C$2:$C$120;$G$2:$G$120;"Oui")</f>
        <v/>
      </c>
      <c r="J104" s="3">
        <f>SI(I104&gt;500;"⚠ ENVOYER MESSAGE PAIEMENT";"")</f>
        <v/>
      </c>
      <c r="K104" t="inlineStr">
        <is>
          <t>Non</t>
        </is>
      </c>
      <c r="L104" t="inlineStr"/>
    </row>
    <row r="105">
      <c r="C105" s="6" t="n">
        <v>0</v>
      </c>
      <c r="D105" s="6" t="n">
        <v>0</v>
      </c>
      <c r="E105" s="7">
        <f>SOMME($D$2:D105)-SOMME($C$2:C105)</f>
        <v/>
      </c>
      <c r="F105" s="3">
        <f>SI(E105&lt;=0;"⚠ SOLDE ÉPUISÉ — faire verser 500 €";"")</f>
        <v/>
      </c>
      <c r="G105" t="inlineStr">
        <is>
          <t>Non</t>
        </is>
      </c>
      <c r="H105" s="3">
        <f>SI(C105&gt;500;"⚠ Facture &gt; 500 € — à relancer";"")</f>
        <v/>
      </c>
      <c r="I105" s="2">
        <f>SOMME($C$2:$C$120)-SOMME.SI($C$2:$C$120;$G$2:$G$120;"Oui")</f>
        <v/>
      </c>
      <c r="J105" s="3">
        <f>SI(I105&gt;500;"⚠ ENVOYER MESSAGE PAIEMENT";"")</f>
        <v/>
      </c>
      <c r="K105" t="inlineStr">
        <is>
          <t>Non</t>
        </is>
      </c>
      <c r="L105" t="inlineStr"/>
    </row>
    <row r="106">
      <c r="C106" s="6" t="n">
        <v>0</v>
      </c>
      <c r="D106" s="6" t="n">
        <v>0</v>
      </c>
      <c r="E106" s="7">
        <f>SOMME($D$2:D106)-SOMME($C$2:C106)</f>
        <v/>
      </c>
      <c r="F106" s="3">
        <f>SI(E106&lt;=0;"⚠ SOLDE ÉPUISÉ — faire verser 500 €";"")</f>
        <v/>
      </c>
      <c r="G106" t="inlineStr">
        <is>
          <t>Non</t>
        </is>
      </c>
      <c r="H106" s="3">
        <f>SI(C106&gt;500;"⚠ Facture &gt; 500 € — à relancer";"")</f>
        <v/>
      </c>
      <c r="I106" s="2">
        <f>SOMME($C$2:$C$120)-SOMME.SI($C$2:$C$120;$G$2:$G$120;"Oui")</f>
        <v/>
      </c>
      <c r="J106" s="3">
        <f>SI(I106&gt;500;"⚠ ENVOYER MESSAGE PAIEMENT";"")</f>
        <v/>
      </c>
      <c r="K106" t="inlineStr">
        <is>
          <t>Non</t>
        </is>
      </c>
      <c r="L106" t="inlineStr"/>
    </row>
    <row r="107">
      <c r="C107" s="6" t="n">
        <v>0</v>
      </c>
      <c r="D107" s="6" t="n">
        <v>0</v>
      </c>
      <c r="E107" s="7">
        <f>SOMME($D$2:D107)-SOMME($C$2:C107)</f>
        <v/>
      </c>
      <c r="F107" s="3">
        <f>SI(E107&lt;=0;"⚠ SOLDE ÉPUISÉ — faire verser 500 €";"")</f>
        <v/>
      </c>
      <c r="G107" t="inlineStr">
        <is>
          <t>Non</t>
        </is>
      </c>
      <c r="H107" s="3">
        <f>SI(C107&gt;500;"⚠ Facture &gt; 500 € — à relancer";"")</f>
        <v/>
      </c>
      <c r="I107" s="2">
        <f>SOMME($C$2:$C$120)-SOMME.SI($C$2:$C$120;$G$2:$G$120;"Oui")</f>
        <v/>
      </c>
      <c r="J107" s="3">
        <f>SI(I107&gt;500;"⚠ ENVOYER MESSAGE PAIEMENT";"")</f>
        <v/>
      </c>
      <c r="K107" t="inlineStr">
        <is>
          <t>Non</t>
        </is>
      </c>
      <c r="L107" t="inlineStr"/>
    </row>
    <row r="108">
      <c r="C108" s="6" t="n">
        <v>0</v>
      </c>
      <c r="D108" s="6" t="n">
        <v>0</v>
      </c>
      <c r="E108" s="7">
        <f>SOMME($D$2:D108)-SOMME($C$2:C108)</f>
        <v/>
      </c>
      <c r="F108" s="3">
        <f>SI(E108&lt;=0;"⚠ SOLDE ÉPUISÉ — faire verser 500 €";"")</f>
        <v/>
      </c>
      <c r="G108" t="inlineStr">
        <is>
          <t>Non</t>
        </is>
      </c>
      <c r="H108" s="3">
        <f>SI(C108&gt;500;"⚠ Facture &gt; 500 € — à relancer";"")</f>
        <v/>
      </c>
      <c r="I108" s="2">
        <f>SOMME($C$2:$C$120)-SOMME.SI($C$2:$C$120;$G$2:$G$120;"Oui")</f>
        <v/>
      </c>
      <c r="J108" s="3">
        <f>SI(I108&gt;500;"⚠ ENVOYER MESSAGE PAIEMENT";"")</f>
        <v/>
      </c>
      <c r="K108" t="inlineStr">
        <is>
          <t>Non</t>
        </is>
      </c>
      <c r="L108" t="inlineStr"/>
    </row>
    <row r="109">
      <c r="C109" s="6" t="n">
        <v>0</v>
      </c>
      <c r="D109" s="6" t="n">
        <v>0</v>
      </c>
      <c r="E109" s="7">
        <f>SOMME($D$2:D109)-SOMME($C$2:C109)</f>
        <v/>
      </c>
      <c r="F109" s="3">
        <f>SI(E109&lt;=0;"⚠ SOLDE ÉPUISÉ — faire verser 500 €";"")</f>
        <v/>
      </c>
      <c r="G109" t="inlineStr">
        <is>
          <t>Non</t>
        </is>
      </c>
      <c r="H109" s="3">
        <f>SI(C109&gt;500;"⚠ Facture &gt; 500 € — à relancer";"")</f>
        <v/>
      </c>
      <c r="I109" s="2">
        <f>SOMME($C$2:$C$120)-SOMME.SI($C$2:$C$120;$G$2:$G$120;"Oui")</f>
        <v/>
      </c>
      <c r="J109" s="3">
        <f>SI(I109&gt;500;"⚠ ENVOYER MESSAGE PAIEMENT";"")</f>
        <v/>
      </c>
      <c r="K109" t="inlineStr">
        <is>
          <t>Non</t>
        </is>
      </c>
      <c r="L109" t="inlineStr"/>
    </row>
    <row r="110">
      <c r="C110" s="6" t="n">
        <v>0</v>
      </c>
      <c r="D110" s="6" t="n">
        <v>0</v>
      </c>
      <c r="E110" s="7">
        <f>SOMME($D$2:D110)-SOMME($C$2:C110)</f>
        <v/>
      </c>
      <c r="F110" s="3">
        <f>SI(E110&lt;=0;"⚠ SOLDE ÉPUISÉ — faire verser 500 €";"")</f>
        <v/>
      </c>
      <c r="G110" t="inlineStr">
        <is>
          <t>Non</t>
        </is>
      </c>
      <c r="H110" s="3">
        <f>SI(C110&gt;500;"⚠ Facture &gt; 500 € — à relancer";"")</f>
        <v/>
      </c>
      <c r="I110" s="2">
        <f>SOMME($C$2:$C$120)-SOMME.SI($C$2:$C$120;$G$2:$G$120;"Oui")</f>
        <v/>
      </c>
      <c r="J110" s="3">
        <f>SI(I110&gt;500;"⚠ ENVOYER MESSAGE PAIEMENT";"")</f>
        <v/>
      </c>
      <c r="K110" t="inlineStr">
        <is>
          <t>Non</t>
        </is>
      </c>
      <c r="L110" t="inlineStr"/>
    </row>
    <row r="111">
      <c r="C111" s="6" t="n">
        <v>0</v>
      </c>
      <c r="D111" s="6" t="n">
        <v>0</v>
      </c>
      <c r="E111" s="7">
        <f>SOMME($D$2:D111)-SOMME($C$2:C111)</f>
        <v/>
      </c>
      <c r="F111" s="3">
        <f>SI(E111&lt;=0;"⚠ SOLDE ÉPUISÉ — faire verser 500 €";"")</f>
        <v/>
      </c>
      <c r="G111" t="inlineStr">
        <is>
          <t>Non</t>
        </is>
      </c>
      <c r="H111" s="3">
        <f>SI(C111&gt;500;"⚠ Facture &gt; 500 € — à relancer";"")</f>
        <v/>
      </c>
      <c r="I111" s="2">
        <f>SOMME($C$2:$C$120)-SOMME.SI($C$2:$C$120;$G$2:$G$120;"Oui")</f>
        <v/>
      </c>
      <c r="J111" s="3">
        <f>SI(I111&gt;500;"⚠ ENVOYER MESSAGE PAIEMENT";"")</f>
        <v/>
      </c>
      <c r="K111" t="inlineStr">
        <is>
          <t>Non</t>
        </is>
      </c>
      <c r="L111" t="inlineStr"/>
    </row>
    <row r="112">
      <c r="C112" s="6" t="n">
        <v>0</v>
      </c>
      <c r="D112" s="6" t="n">
        <v>0</v>
      </c>
      <c r="E112" s="7">
        <f>SOMME($D$2:D112)-SOMME($C$2:C112)</f>
        <v/>
      </c>
      <c r="F112" s="3">
        <f>SI(E112&lt;=0;"⚠ SOLDE ÉPUISÉ — faire verser 500 €";"")</f>
        <v/>
      </c>
      <c r="G112" t="inlineStr">
        <is>
          <t>Non</t>
        </is>
      </c>
      <c r="H112" s="3">
        <f>SI(C112&gt;500;"⚠ Facture &gt; 500 € — à relancer";"")</f>
        <v/>
      </c>
      <c r="I112" s="2">
        <f>SOMME($C$2:$C$120)-SOMME.SI($C$2:$C$120;$G$2:$G$120;"Oui")</f>
        <v/>
      </c>
      <c r="J112" s="3">
        <f>SI(I112&gt;500;"⚠ ENVOYER MESSAGE PAIEMENT";"")</f>
        <v/>
      </c>
      <c r="K112" t="inlineStr">
        <is>
          <t>Non</t>
        </is>
      </c>
      <c r="L112" t="inlineStr"/>
    </row>
    <row r="113">
      <c r="C113" s="6" t="n">
        <v>0</v>
      </c>
      <c r="D113" s="6" t="n">
        <v>0</v>
      </c>
      <c r="E113" s="7">
        <f>SOMME($D$2:D113)-SOMME($C$2:C113)</f>
        <v/>
      </c>
      <c r="F113" s="3">
        <f>SI(E113&lt;=0;"⚠ SOLDE ÉPUISÉ — faire verser 500 €";"")</f>
        <v/>
      </c>
      <c r="G113" t="inlineStr">
        <is>
          <t>Non</t>
        </is>
      </c>
      <c r="H113" s="3">
        <f>SI(C113&gt;500;"⚠ Facture &gt; 500 € — à relancer";"")</f>
        <v/>
      </c>
      <c r="I113" s="2">
        <f>SOMME($C$2:$C$120)-SOMME.SI($C$2:$C$120;$G$2:$G$120;"Oui")</f>
        <v/>
      </c>
      <c r="J113" s="3">
        <f>SI(I113&gt;500;"⚠ ENVOYER MESSAGE PAIEMENT";"")</f>
        <v/>
      </c>
      <c r="K113" t="inlineStr">
        <is>
          <t>Non</t>
        </is>
      </c>
      <c r="L113" t="inlineStr"/>
    </row>
    <row r="114">
      <c r="C114" s="6" t="n">
        <v>0</v>
      </c>
      <c r="D114" s="6" t="n">
        <v>0</v>
      </c>
      <c r="E114" s="7">
        <f>SOMME($D$2:D114)-SOMME($C$2:C114)</f>
        <v/>
      </c>
      <c r="F114" s="3">
        <f>SI(E114&lt;=0;"⚠ SOLDE ÉPUISÉ — faire verser 500 €";"")</f>
        <v/>
      </c>
      <c r="G114" t="inlineStr">
        <is>
          <t>Non</t>
        </is>
      </c>
      <c r="H114" s="3">
        <f>SI(C114&gt;500;"⚠ Facture &gt; 500 € — à relancer";"")</f>
        <v/>
      </c>
      <c r="I114" s="2">
        <f>SOMME($C$2:$C$120)-SOMME.SI($C$2:$C$120;$G$2:$G$120;"Oui")</f>
        <v/>
      </c>
      <c r="J114" s="3">
        <f>SI(I114&gt;500;"⚠ ENVOYER MESSAGE PAIEMENT";"")</f>
        <v/>
      </c>
      <c r="K114" t="inlineStr">
        <is>
          <t>Non</t>
        </is>
      </c>
      <c r="L114" t="inlineStr"/>
    </row>
    <row r="115">
      <c r="C115" s="6" t="n">
        <v>0</v>
      </c>
      <c r="D115" s="6" t="n">
        <v>0</v>
      </c>
      <c r="E115" s="7">
        <f>SOMME($D$2:D115)-SOMME($C$2:C115)</f>
        <v/>
      </c>
      <c r="F115" s="3">
        <f>SI(E115&lt;=0;"⚠ SOLDE ÉPUISÉ — faire verser 500 €";"")</f>
        <v/>
      </c>
      <c r="G115" t="inlineStr">
        <is>
          <t>Non</t>
        </is>
      </c>
      <c r="H115" s="3">
        <f>SI(C115&gt;500;"⚠ Facture &gt; 500 € — à relancer";"")</f>
        <v/>
      </c>
      <c r="I115" s="2">
        <f>SOMME($C$2:$C$120)-SOMME.SI($C$2:$C$120;$G$2:$G$120;"Oui")</f>
        <v/>
      </c>
      <c r="J115" s="3">
        <f>SI(I115&gt;500;"⚠ ENVOYER MESSAGE PAIEMENT";"")</f>
        <v/>
      </c>
      <c r="K115" t="inlineStr">
        <is>
          <t>Non</t>
        </is>
      </c>
      <c r="L115" t="inlineStr"/>
    </row>
    <row r="116">
      <c r="C116" s="6" t="n">
        <v>0</v>
      </c>
      <c r="D116" s="6" t="n">
        <v>0</v>
      </c>
      <c r="E116" s="7">
        <f>SOMME($D$2:D116)-SOMME($C$2:C116)</f>
        <v/>
      </c>
      <c r="F116" s="3">
        <f>SI(E116&lt;=0;"⚠ SOLDE ÉPUISÉ — faire verser 500 €";"")</f>
        <v/>
      </c>
      <c r="G116" t="inlineStr">
        <is>
          <t>Non</t>
        </is>
      </c>
      <c r="H116" s="3">
        <f>SI(C116&gt;500;"⚠ Facture &gt; 500 € — à relancer";"")</f>
        <v/>
      </c>
      <c r="I116" s="2">
        <f>SOMME($C$2:$C$120)-SOMME.SI($C$2:$C$120;$G$2:$G$120;"Oui")</f>
        <v/>
      </c>
      <c r="J116" s="3">
        <f>SI(I116&gt;500;"⚠ ENVOYER MESSAGE PAIEMENT";"")</f>
        <v/>
      </c>
      <c r="K116" t="inlineStr">
        <is>
          <t>Non</t>
        </is>
      </c>
      <c r="L116" t="inlineStr"/>
    </row>
    <row r="117">
      <c r="C117" s="6" t="n">
        <v>0</v>
      </c>
      <c r="D117" s="6" t="n">
        <v>0</v>
      </c>
      <c r="E117" s="7">
        <f>SOMME($D$2:D117)-SOMME($C$2:C117)</f>
        <v/>
      </c>
      <c r="F117" s="3">
        <f>SI(E117&lt;=0;"⚠ SOLDE ÉPUISÉ — faire verser 500 €";"")</f>
        <v/>
      </c>
      <c r="G117" t="inlineStr">
        <is>
          <t>Non</t>
        </is>
      </c>
      <c r="H117" s="3">
        <f>SI(C117&gt;500;"⚠ Facture &gt; 500 € — à relancer";"")</f>
        <v/>
      </c>
      <c r="I117" s="2">
        <f>SOMME($C$2:$C$120)-SOMME.SI($C$2:$C$120;$G$2:$G$120;"Oui")</f>
        <v/>
      </c>
      <c r="J117" s="3">
        <f>SI(I117&gt;500;"⚠ ENVOYER MESSAGE PAIEMENT";"")</f>
        <v/>
      </c>
      <c r="K117" t="inlineStr">
        <is>
          <t>Non</t>
        </is>
      </c>
      <c r="L117" t="inlineStr"/>
    </row>
    <row r="118">
      <c r="C118" s="6" t="n">
        <v>0</v>
      </c>
      <c r="D118" s="6" t="n">
        <v>0</v>
      </c>
      <c r="E118" s="7">
        <f>SOMME($D$2:D118)-SOMME($C$2:C118)</f>
        <v/>
      </c>
      <c r="F118" s="3">
        <f>SI(E118&lt;=0;"⚠ SOLDE ÉPUISÉ — faire verser 500 €";"")</f>
        <v/>
      </c>
      <c r="G118" t="inlineStr">
        <is>
          <t>Non</t>
        </is>
      </c>
      <c r="H118" s="3">
        <f>SI(C118&gt;500;"⚠ Facture &gt; 500 € — à relancer";"")</f>
        <v/>
      </c>
      <c r="I118" s="2">
        <f>SOMME($C$2:$C$120)-SOMME.SI($C$2:$C$120;$G$2:$G$120;"Oui")</f>
        <v/>
      </c>
      <c r="J118" s="3">
        <f>SI(I118&gt;500;"⚠ ENVOYER MESSAGE PAIEMENT";"")</f>
        <v/>
      </c>
      <c r="K118" t="inlineStr">
        <is>
          <t>Non</t>
        </is>
      </c>
      <c r="L118" t="inlineStr"/>
    </row>
    <row r="119">
      <c r="C119" s="6" t="n">
        <v>0</v>
      </c>
      <c r="D119" s="6" t="n">
        <v>0</v>
      </c>
      <c r="E119" s="7">
        <f>SOMME($D$2:D119)-SOMME($C$2:C119)</f>
        <v/>
      </c>
      <c r="F119" s="3">
        <f>SI(E119&lt;=0;"⚠ SOLDE ÉPUISÉ — faire verser 500 €";"")</f>
        <v/>
      </c>
      <c r="G119" t="inlineStr">
        <is>
          <t>Non</t>
        </is>
      </c>
      <c r="H119" s="3">
        <f>SI(C119&gt;500;"⚠ Facture &gt; 500 € — à relancer";"")</f>
        <v/>
      </c>
      <c r="I119" s="2">
        <f>SOMME($C$2:$C$120)-SOMME.SI($C$2:$C$120;$G$2:$G$120;"Oui")</f>
        <v/>
      </c>
      <c r="J119" s="3">
        <f>SI(I119&gt;500;"⚠ ENVOYER MESSAGE PAIEMENT";"")</f>
        <v/>
      </c>
      <c r="K119" t="inlineStr">
        <is>
          <t>Non</t>
        </is>
      </c>
      <c r="L119" t="inlineStr"/>
    </row>
    <row r="120">
      <c r="C120" s="6" t="n">
        <v>0</v>
      </c>
      <c r="D120" s="6" t="n">
        <v>0</v>
      </c>
      <c r="E120" s="7">
        <f>SOMME($D$2:D120)-SOMME($C$2:C120)</f>
        <v/>
      </c>
      <c r="F120" s="3">
        <f>SI(E120&lt;=0;"⚠ SOLDE ÉPUISÉ — faire verser 500 €";"")</f>
        <v/>
      </c>
      <c r="G120" t="inlineStr">
        <is>
          <t>Non</t>
        </is>
      </c>
      <c r="H120" s="3">
        <f>SI(C120&gt;500;"⚠ Facture &gt; 500 € — à relancer";"")</f>
        <v/>
      </c>
      <c r="I120" s="2">
        <f>SOMME($C$2:$C$120)-SOMME.SI($C$2:$C$120;$G$2:$G$120;"Oui")</f>
        <v/>
      </c>
      <c r="J120" s="3">
        <f>SI(I120&gt;500;"⚠ ENVOYER MESSAGE PAIEMENT";"")</f>
        <v/>
      </c>
      <c r="K120" t="inlineStr">
        <is>
          <t>Non</t>
        </is>
      </c>
      <c r="L120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1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 outlineLevelCol="0"/>
  <cols>
    <col width="12" customWidth="1" min="1" max="1"/>
    <col width="18" customWidth="1" min="2" max="2"/>
    <col width="11" customWidth="1" min="3" max="3"/>
    <col width="14" customWidth="1" min="4" max="4"/>
    <col width="12" customWidth="1" min="5" max="5"/>
    <col width="28" customWidth="1" min="6" max="6"/>
    <col width="10" customWidth="1" min="7" max="7"/>
    <col width="26" customWidth="1" min="8" max="8"/>
    <col width="14" customWidth="1" min="9" max="9"/>
    <col width="26" customWidth="1" min="10" max="10"/>
    <col width="14" customWidth="1" min="11" max="11"/>
    <col width="12" customWidth="1" min="12" max="12"/>
  </cols>
  <sheetData>
    <row r="1">
      <c r="A1" s="4" t="inlineStr">
        <is>
          <t>Date facture</t>
        </is>
      </c>
      <c r="B1" s="4" t="inlineStr">
        <is>
          <t>N° facture</t>
        </is>
      </c>
      <c r="C1" s="4" t="inlineStr">
        <is>
          <t>Montant facture (€)</t>
        </is>
      </c>
      <c r="D1" s="5" t="inlineStr">
        <is>
          <t>Versement (€)</t>
        </is>
      </c>
      <c r="E1" s="5" t="inlineStr">
        <is>
          <t>Solde (€)</t>
        </is>
      </c>
      <c r="F1" s="5" t="inlineStr">
        <is>
          <t>Alerte solde</t>
        </is>
      </c>
      <c r="G1" s="4" t="inlineStr">
        <is>
          <t>Payé ? (Oui / Non)</t>
        </is>
      </c>
      <c r="H1" s="4" t="inlineStr">
        <is>
          <t>Alerte facture &gt; 500 €</t>
        </is>
      </c>
      <c r="I1" s="4" t="inlineStr">
        <is>
          <t>Encours impayé (€)</t>
        </is>
      </c>
      <c r="J1" s="4" t="inlineStr">
        <is>
          <t>Alerte encours</t>
        </is>
      </c>
      <c r="K1" s="4" t="inlineStr">
        <is>
          <t>Message envoyé ?</t>
        </is>
      </c>
      <c r="L1" s="4" t="inlineStr">
        <is>
          <t>Date relance</t>
        </is>
      </c>
    </row>
    <row r="2">
      <c r="A2" t="inlineStr">
        <is>
          <t>2026-01-01</t>
        </is>
      </c>
      <c r="B2" t="inlineStr">
        <is>
          <t>FAC-MYFRENCHC-2026-01</t>
        </is>
      </c>
      <c r="C2" s="6" t="n">
        <v>0</v>
      </c>
      <c r="D2" s="6" t="n">
        <v>500</v>
      </c>
      <c r="E2" s="7">
        <f>SOMME($D$2:D2)-SOMME($C$2:C2)</f>
        <v/>
      </c>
      <c r="F2" s="3">
        <f>SI(E2&lt;=0;"⚠ SOLDE ÉPUISÉ — faire verser 500 €";"")</f>
        <v/>
      </c>
      <c r="G2" t="inlineStr">
        <is>
          <t>Non</t>
        </is>
      </c>
      <c r="H2" s="3">
        <f>SI(C2&gt;500;"⚠ Facture &gt; 500 € — à relancer";"")</f>
        <v/>
      </c>
      <c r="I2" s="2">
        <f>SOMME($C$2:$C$120)-SOMME.SI($C$2:$C$120;$G$2:$G$120;"Oui")</f>
        <v/>
      </c>
      <c r="J2" s="3">
        <f>SI(I2&gt;500;"⚠ ENVOYER MESSAGE PAIEMENT";"")</f>
        <v/>
      </c>
      <c r="K2" t="inlineStr">
        <is>
          <t>Non</t>
        </is>
      </c>
      <c r="L2" t="inlineStr"/>
    </row>
    <row r="3">
      <c r="A3" t="inlineStr">
        <is>
          <t>2026-02-01</t>
        </is>
      </c>
      <c r="B3" t="inlineStr">
        <is>
          <t>FAC-MYFRENCHC-2026-02</t>
        </is>
      </c>
      <c r="C3" s="6" t="n">
        <v>0</v>
      </c>
      <c r="D3" s="6" t="n">
        <v>0</v>
      </c>
      <c r="E3" s="7">
        <f>SOMME($D$2:D3)-SOMME($C$2:C3)</f>
        <v/>
      </c>
      <c r="F3" s="3">
        <f>SI(E3&lt;=0;"⚠ SOLDE ÉPUISÉ — faire verser 500 €";"")</f>
        <v/>
      </c>
      <c r="G3" t="inlineStr">
        <is>
          <t>Non</t>
        </is>
      </c>
      <c r="H3" s="3">
        <f>SI(C3&gt;500;"⚠ Facture &gt; 500 € — à relancer";"")</f>
        <v/>
      </c>
      <c r="I3" s="2">
        <f>SOMME($C$2:$C$120)-SOMME.SI($C$2:$C$120;$G$2:$G$120;"Oui")</f>
        <v/>
      </c>
      <c r="J3" s="3">
        <f>SI(I3&gt;500;"⚠ ENVOYER MESSAGE PAIEMENT";"")</f>
        <v/>
      </c>
      <c r="K3" t="inlineStr">
        <is>
          <t>Non</t>
        </is>
      </c>
      <c r="L3" t="inlineStr"/>
    </row>
    <row r="4">
      <c r="A4" t="inlineStr">
        <is>
          <t>2026-03-01</t>
        </is>
      </c>
      <c r="B4" t="inlineStr">
        <is>
          <t>FAC-MYFRENCHC-2026-03</t>
        </is>
      </c>
      <c r="C4" s="6" t="n">
        <v>0</v>
      </c>
      <c r="D4" s="6" t="n">
        <v>0</v>
      </c>
      <c r="E4" s="7">
        <f>SOMME($D$2:D4)-SOMME($C$2:C4)</f>
        <v/>
      </c>
      <c r="F4" s="3">
        <f>SI(E4&lt;=0;"⚠ SOLDE ÉPUISÉ — faire verser 500 €";"")</f>
        <v/>
      </c>
      <c r="G4" t="inlineStr">
        <is>
          <t>Non</t>
        </is>
      </c>
      <c r="H4" s="3">
        <f>SI(C4&gt;500;"⚠ Facture &gt; 500 € — à relancer";"")</f>
        <v/>
      </c>
      <c r="I4" s="2">
        <f>SOMME($C$2:$C$120)-SOMME.SI($C$2:$C$120;$G$2:$G$120;"Oui")</f>
        <v/>
      </c>
      <c r="J4" s="3">
        <f>SI(I4&gt;500;"⚠ ENVOYER MESSAGE PAIEMENT";"")</f>
        <v/>
      </c>
      <c r="K4" t="inlineStr">
        <is>
          <t>Non</t>
        </is>
      </c>
      <c r="L4" t="inlineStr"/>
    </row>
    <row r="5">
      <c r="A5" t="inlineStr">
        <is>
          <t>2026-04-01</t>
        </is>
      </c>
      <c r="B5" t="inlineStr">
        <is>
          <t>FAC-MYFRENCHC-2026-04</t>
        </is>
      </c>
      <c r="C5" s="6" t="n">
        <v>0</v>
      </c>
      <c r="D5" s="6" t="n">
        <v>0</v>
      </c>
      <c r="E5" s="7">
        <f>SOMME($D$2:D5)-SOMME($C$2:C5)</f>
        <v/>
      </c>
      <c r="F5" s="3">
        <f>SI(E5&lt;=0;"⚠ SOLDE ÉPUISÉ — faire verser 500 €";"")</f>
        <v/>
      </c>
      <c r="G5" t="inlineStr">
        <is>
          <t>Non</t>
        </is>
      </c>
      <c r="H5" s="3">
        <f>SI(C5&gt;500;"⚠ Facture &gt; 500 € — à relancer";"")</f>
        <v/>
      </c>
      <c r="I5" s="2">
        <f>SOMME($C$2:$C$120)-SOMME.SI($C$2:$C$120;$G$2:$G$120;"Oui")</f>
        <v/>
      </c>
      <c r="J5" s="3">
        <f>SI(I5&gt;500;"⚠ ENVOYER MESSAGE PAIEMENT";"")</f>
        <v/>
      </c>
      <c r="K5" t="inlineStr">
        <is>
          <t>Non</t>
        </is>
      </c>
      <c r="L5" t="inlineStr"/>
    </row>
    <row r="6">
      <c r="A6" t="inlineStr">
        <is>
          <t>2026-05-01</t>
        </is>
      </c>
      <c r="B6" t="inlineStr">
        <is>
          <t>FAC-MYFRENCHC-2026-05</t>
        </is>
      </c>
      <c r="C6" s="6" t="n">
        <v>0</v>
      </c>
      <c r="D6" s="6" t="n">
        <v>0</v>
      </c>
      <c r="E6" s="7">
        <f>SOMME($D$2:D6)-SOMME($C$2:C6)</f>
        <v/>
      </c>
      <c r="F6" s="3">
        <f>SI(E6&lt;=0;"⚠ SOLDE ÉPUISÉ — faire verser 500 €";"")</f>
        <v/>
      </c>
      <c r="G6" t="inlineStr">
        <is>
          <t>Non</t>
        </is>
      </c>
      <c r="H6" s="3">
        <f>SI(C6&gt;500;"⚠ Facture &gt; 500 € — à relancer";"")</f>
        <v/>
      </c>
      <c r="I6" s="2">
        <f>SOMME($C$2:$C$120)-SOMME.SI($C$2:$C$120;$G$2:$G$120;"Oui")</f>
        <v/>
      </c>
      <c r="J6" s="3">
        <f>SI(I6&gt;500;"⚠ ENVOYER MESSAGE PAIEMENT";"")</f>
        <v/>
      </c>
      <c r="K6" t="inlineStr">
        <is>
          <t>Non</t>
        </is>
      </c>
      <c r="L6" t="inlineStr"/>
    </row>
    <row r="7">
      <c r="A7" t="inlineStr">
        <is>
          <t>2026-06-01</t>
        </is>
      </c>
      <c r="B7" t="inlineStr">
        <is>
          <t>FAC-MYFRENCHC-2026-06</t>
        </is>
      </c>
      <c r="C7" s="6" t="n">
        <v>0</v>
      </c>
      <c r="D7" s="6" t="n">
        <v>0</v>
      </c>
      <c r="E7" s="7">
        <f>SOMME($D$2:D7)-SOMME($C$2:C7)</f>
        <v/>
      </c>
      <c r="F7" s="3">
        <f>SI(E7&lt;=0;"⚠ SOLDE ÉPUISÉ — faire verser 500 €";"")</f>
        <v/>
      </c>
      <c r="G7" t="inlineStr">
        <is>
          <t>Non</t>
        </is>
      </c>
      <c r="H7" s="3">
        <f>SI(C7&gt;500;"⚠ Facture &gt; 500 € — à relancer";"")</f>
        <v/>
      </c>
      <c r="I7" s="2">
        <f>SOMME($C$2:$C$120)-SOMME.SI($C$2:$C$120;$G$2:$G$120;"Oui")</f>
        <v/>
      </c>
      <c r="J7" s="3">
        <f>SI(I7&gt;500;"⚠ ENVOYER MESSAGE PAIEMENT";"")</f>
        <v/>
      </c>
      <c r="K7" t="inlineStr">
        <is>
          <t>Non</t>
        </is>
      </c>
      <c r="L7" t="inlineStr"/>
    </row>
    <row r="8">
      <c r="A8" t="inlineStr">
        <is>
          <t>2026-07-01</t>
        </is>
      </c>
      <c r="B8" t="inlineStr">
        <is>
          <t>FAC-MYFRENCHC-2026-07</t>
        </is>
      </c>
      <c r="C8" s="6" t="n">
        <v>0</v>
      </c>
      <c r="D8" s="6" t="n">
        <v>0</v>
      </c>
      <c r="E8" s="7">
        <f>SOMME($D$2:D8)-SOMME($C$2:C8)</f>
        <v/>
      </c>
      <c r="F8" s="3">
        <f>SI(E8&lt;=0;"⚠ SOLDE ÉPUISÉ — faire verser 500 €";"")</f>
        <v/>
      </c>
      <c r="G8" t="inlineStr">
        <is>
          <t>Non</t>
        </is>
      </c>
      <c r="H8" s="3">
        <f>SI(C8&gt;500;"⚠ Facture &gt; 500 € — à relancer";"")</f>
        <v/>
      </c>
      <c r="I8" s="2">
        <f>SOMME($C$2:$C$120)-SOMME.SI($C$2:$C$120;$G$2:$G$120;"Oui")</f>
        <v/>
      </c>
      <c r="J8" s="3">
        <f>SI(I8&gt;500;"⚠ ENVOYER MESSAGE PAIEMENT";"")</f>
        <v/>
      </c>
      <c r="K8" t="inlineStr">
        <is>
          <t>Non</t>
        </is>
      </c>
      <c r="L8" t="inlineStr"/>
    </row>
    <row r="9">
      <c r="A9" t="inlineStr">
        <is>
          <t>2026-08-01</t>
        </is>
      </c>
      <c r="B9" t="inlineStr">
        <is>
          <t>FAC-MYFRENCHC-2026-08</t>
        </is>
      </c>
      <c r="C9" s="6" t="n">
        <v>0</v>
      </c>
      <c r="D9" s="6" t="n">
        <v>0</v>
      </c>
      <c r="E9" s="7">
        <f>SOMME($D$2:D9)-SOMME($C$2:C9)</f>
        <v/>
      </c>
      <c r="F9" s="3">
        <f>SI(E9&lt;=0;"⚠ SOLDE ÉPUISÉ — faire verser 500 €";"")</f>
        <v/>
      </c>
      <c r="G9" t="inlineStr">
        <is>
          <t>Non</t>
        </is>
      </c>
      <c r="H9" s="3">
        <f>SI(C9&gt;500;"⚠ Facture &gt; 500 € — à relancer";"")</f>
        <v/>
      </c>
      <c r="I9" s="2">
        <f>SOMME($C$2:$C$120)-SOMME.SI($C$2:$C$120;$G$2:$G$120;"Oui")</f>
        <v/>
      </c>
      <c r="J9" s="3">
        <f>SI(I9&gt;500;"⚠ ENVOYER MESSAGE PAIEMENT";"")</f>
        <v/>
      </c>
      <c r="K9" t="inlineStr">
        <is>
          <t>Non</t>
        </is>
      </c>
      <c r="L9" t="inlineStr"/>
    </row>
    <row r="10">
      <c r="A10" t="inlineStr">
        <is>
          <t>2026-09-01</t>
        </is>
      </c>
      <c r="B10" t="inlineStr">
        <is>
          <t>FAC-MYFRENCHC-2026-09</t>
        </is>
      </c>
      <c r="C10" s="6" t="n">
        <v>0</v>
      </c>
      <c r="D10" s="6" t="n">
        <v>0</v>
      </c>
      <c r="E10" s="7">
        <f>SOMME($D$2:D10)-SOMME($C$2:C10)</f>
        <v/>
      </c>
      <c r="F10" s="3">
        <f>SI(E10&lt;=0;"⚠ SOLDE ÉPUISÉ — faire verser 500 €";"")</f>
        <v/>
      </c>
      <c r="G10" t="inlineStr">
        <is>
          <t>Non</t>
        </is>
      </c>
      <c r="H10" s="3">
        <f>SI(C10&gt;500;"⚠ Facture &gt; 500 € — à relancer";"")</f>
        <v/>
      </c>
      <c r="I10" s="2">
        <f>SOMME($C$2:$C$120)-SOMME.SI($C$2:$C$120;$G$2:$G$120;"Oui")</f>
        <v/>
      </c>
      <c r="J10" s="3">
        <f>SI(I10&gt;500;"⚠ ENVOYER MESSAGE PAIEMENT";"")</f>
        <v/>
      </c>
      <c r="K10" t="inlineStr">
        <is>
          <t>Non</t>
        </is>
      </c>
      <c r="L10" t="inlineStr"/>
    </row>
    <row r="11">
      <c r="A11" t="inlineStr">
        <is>
          <t>2026-10-01</t>
        </is>
      </c>
      <c r="B11" t="inlineStr">
        <is>
          <t>FAC-MYFRENCHC-2026-10</t>
        </is>
      </c>
      <c r="C11" s="6" t="n">
        <v>0</v>
      </c>
      <c r="D11" s="6" t="n">
        <v>0</v>
      </c>
      <c r="E11" s="7">
        <f>SOMME($D$2:D11)-SOMME($C$2:C11)</f>
        <v/>
      </c>
      <c r="F11" s="3">
        <f>SI(E11&lt;=0;"⚠ SOLDE ÉPUISÉ — faire verser 500 €";"")</f>
        <v/>
      </c>
      <c r="G11" t="inlineStr">
        <is>
          <t>Non</t>
        </is>
      </c>
      <c r="H11" s="3">
        <f>SI(C11&gt;500;"⚠ Facture &gt; 500 € — à relancer";"")</f>
        <v/>
      </c>
      <c r="I11" s="2">
        <f>SOMME($C$2:$C$120)-SOMME.SI($C$2:$C$120;$G$2:$G$120;"Oui")</f>
        <v/>
      </c>
      <c r="J11" s="3">
        <f>SI(I11&gt;500;"⚠ ENVOYER MESSAGE PAIEMENT";"")</f>
        <v/>
      </c>
      <c r="K11" t="inlineStr">
        <is>
          <t>Non</t>
        </is>
      </c>
      <c r="L11" t="inlineStr"/>
    </row>
    <row r="12">
      <c r="A12" t="inlineStr">
        <is>
          <t>2026-11-01</t>
        </is>
      </c>
      <c r="B12" t="inlineStr">
        <is>
          <t>FAC-MYFRENCHC-2026-11</t>
        </is>
      </c>
      <c r="C12" s="6" t="n">
        <v>0</v>
      </c>
      <c r="D12" s="6" t="n">
        <v>0</v>
      </c>
      <c r="E12" s="7">
        <f>SOMME($D$2:D12)-SOMME($C$2:C12)</f>
        <v/>
      </c>
      <c r="F12" s="3">
        <f>SI(E12&lt;=0;"⚠ SOLDE ÉPUISÉ — faire verser 500 €";"")</f>
        <v/>
      </c>
      <c r="G12" t="inlineStr">
        <is>
          <t>Non</t>
        </is>
      </c>
      <c r="H12" s="3">
        <f>SI(C12&gt;500;"⚠ Facture &gt; 500 € — à relancer";"")</f>
        <v/>
      </c>
      <c r="I12" s="2">
        <f>SOMME($C$2:$C$120)-SOMME.SI($C$2:$C$120;$G$2:$G$120;"Oui")</f>
        <v/>
      </c>
      <c r="J12" s="3">
        <f>SI(I12&gt;500;"⚠ ENVOYER MESSAGE PAIEMENT";"")</f>
        <v/>
      </c>
      <c r="K12" t="inlineStr">
        <is>
          <t>Non</t>
        </is>
      </c>
      <c r="L12" t="inlineStr"/>
    </row>
    <row r="13">
      <c r="A13" t="inlineStr">
        <is>
          <t>2026-12-01</t>
        </is>
      </c>
      <c r="B13" t="inlineStr">
        <is>
          <t>FAC-MYFRENCHC-2026-12</t>
        </is>
      </c>
      <c r="C13" s="6" t="n">
        <v>0</v>
      </c>
      <c r="D13" s="6" t="n">
        <v>0</v>
      </c>
      <c r="E13" s="7">
        <f>SOMME($D$2:D13)-SOMME($C$2:C13)</f>
        <v/>
      </c>
      <c r="F13" s="3">
        <f>SI(E13&lt;=0;"⚠ SOLDE ÉPUISÉ — faire verser 500 €";"")</f>
        <v/>
      </c>
      <c r="G13" t="inlineStr">
        <is>
          <t>Non</t>
        </is>
      </c>
      <c r="H13" s="3">
        <f>SI(C13&gt;500;"⚠ Facture &gt; 500 € — à relancer";"")</f>
        <v/>
      </c>
      <c r="I13" s="2">
        <f>SOMME($C$2:$C$120)-SOMME.SI($C$2:$C$120;$G$2:$G$120;"Oui")</f>
        <v/>
      </c>
      <c r="J13" s="3">
        <f>SI(I13&gt;500;"⚠ ENVOYER MESSAGE PAIEMENT";"")</f>
        <v/>
      </c>
      <c r="K13" t="inlineStr">
        <is>
          <t>Non</t>
        </is>
      </c>
      <c r="L13" t="inlineStr"/>
    </row>
    <row r="14">
      <c r="C14" s="6" t="n">
        <v>0</v>
      </c>
      <c r="D14" s="6" t="n">
        <v>0</v>
      </c>
      <c r="E14" s="7">
        <f>SOMME($D$2:D14)-SOMME($C$2:C14)</f>
        <v/>
      </c>
      <c r="F14" s="3">
        <f>SI(E14&lt;=0;"⚠ SOLDE ÉPUISÉ — faire verser 500 €";"")</f>
        <v/>
      </c>
      <c r="G14" t="inlineStr">
        <is>
          <t>Non</t>
        </is>
      </c>
      <c r="H14" s="3">
        <f>SI(C14&gt;500;"⚠ Facture &gt; 500 € — à relancer";"")</f>
        <v/>
      </c>
      <c r="I14" s="2">
        <f>SOMME($C$2:$C$120)-SOMME.SI($C$2:$C$120;$G$2:$G$120;"Oui")</f>
        <v/>
      </c>
      <c r="J14" s="3">
        <f>SI(I14&gt;500;"⚠ ENVOYER MESSAGE PAIEMENT";"")</f>
        <v/>
      </c>
      <c r="K14" t="inlineStr">
        <is>
          <t>Non</t>
        </is>
      </c>
      <c r="L14" t="inlineStr"/>
    </row>
    <row r="15">
      <c r="C15" s="6" t="n">
        <v>0</v>
      </c>
      <c r="D15" s="6" t="n">
        <v>0</v>
      </c>
      <c r="E15" s="7">
        <f>SOMME($D$2:D15)-SOMME($C$2:C15)</f>
        <v/>
      </c>
      <c r="F15" s="3">
        <f>SI(E15&lt;=0;"⚠ SOLDE ÉPUISÉ — faire verser 500 €";"")</f>
        <v/>
      </c>
      <c r="G15" t="inlineStr">
        <is>
          <t>Non</t>
        </is>
      </c>
      <c r="H15" s="3">
        <f>SI(C15&gt;500;"⚠ Facture &gt; 500 € — à relancer";"")</f>
        <v/>
      </c>
      <c r="I15" s="2">
        <f>SOMME($C$2:$C$120)-SOMME.SI($C$2:$C$120;$G$2:$G$120;"Oui")</f>
        <v/>
      </c>
      <c r="J15" s="3">
        <f>SI(I15&gt;500;"⚠ ENVOYER MESSAGE PAIEMENT";"")</f>
        <v/>
      </c>
      <c r="K15" t="inlineStr">
        <is>
          <t>Non</t>
        </is>
      </c>
      <c r="L15" t="inlineStr"/>
    </row>
    <row r="16">
      <c r="C16" s="6" t="n">
        <v>0</v>
      </c>
      <c r="D16" s="6" t="n">
        <v>0</v>
      </c>
      <c r="E16" s="7">
        <f>SOMME($D$2:D16)-SOMME($C$2:C16)</f>
        <v/>
      </c>
      <c r="F16" s="3">
        <f>SI(E16&lt;=0;"⚠ SOLDE ÉPUISÉ — faire verser 500 €";"")</f>
        <v/>
      </c>
      <c r="G16" t="inlineStr">
        <is>
          <t>Non</t>
        </is>
      </c>
      <c r="H16" s="3">
        <f>SI(C16&gt;500;"⚠ Facture &gt; 500 € — à relancer";"")</f>
        <v/>
      </c>
      <c r="I16" s="2">
        <f>SOMME($C$2:$C$120)-SOMME.SI($C$2:$C$120;$G$2:$G$120;"Oui")</f>
        <v/>
      </c>
      <c r="J16" s="3">
        <f>SI(I16&gt;500;"⚠ ENVOYER MESSAGE PAIEMENT";"")</f>
        <v/>
      </c>
      <c r="K16" t="inlineStr">
        <is>
          <t>Non</t>
        </is>
      </c>
      <c r="L16" t="inlineStr"/>
    </row>
    <row r="17">
      <c r="C17" s="6" t="n">
        <v>0</v>
      </c>
      <c r="D17" s="6" t="n">
        <v>0</v>
      </c>
      <c r="E17" s="7">
        <f>SOMME($D$2:D17)-SOMME($C$2:C17)</f>
        <v/>
      </c>
      <c r="F17" s="3">
        <f>SI(E17&lt;=0;"⚠ SOLDE ÉPUISÉ — faire verser 500 €";"")</f>
        <v/>
      </c>
      <c r="G17" t="inlineStr">
        <is>
          <t>Non</t>
        </is>
      </c>
      <c r="H17" s="3">
        <f>SI(C17&gt;500;"⚠ Facture &gt; 500 € — à relancer";"")</f>
        <v/>
      </c>
      <c r="I17" s="2">
        <f>SOMME($C$2:$C$120)-SOMME.SI($C$2:$C$120;$G$2:$G$120;"Oui")</f>
        <v/>
      </c>
      <c r="J17" s="3">
        <f>SI(I17&gt;500;"⚠ ENVOYER MESSAGE PAIEMENT";"")</f>
        <v/>
      </c>
      <c r="K17" t="inlineStr">
        <is>
          <t>Non</t>
        </is>
      </c>
      <c r="L17" t="inlineStr"/>
    </row>
    <row r="18">
      <c r="C18" s="6" t="n">
        <v>0</v>
      </c>
      <c r="D18" s="6" t="n">
        <v>0</v>
      </c>
      <c r="E18" s="7">
        <f>SOMME($D$2:D18)-SOMME($C$2:C18)</f>
        <v/>
      </c>
      <c r="F18" s="3">
        <f>SI(E18&lt;=0;"⚠ SOLDE ÉPUISÉ — faire verser 500 €";"")</f>
        <v/>
      </c>
      <c r="G18" t="inlineStr">
        <is>
          <t>Non</t>
        </is>
      </c>
      <c r="H18" s="3">
        <f>SI(C18&gt;500;"⚠ Facture &gt; 500 € — à relancer";"")</f>
        <v/>
      </c>
      <c r="I18" s="2">
        <f>SOMME($C$2:$C$120)-SOMME.SI($C$2:$C$120;$G$2:$G$120;"Oui")</f>
        <v/>
      </c>
      <c r="J18" s="3">
        <f>SI(I18&gt;500;"⚠ ENVOYER MESSAGE PAIEMENT";"")</f>
        <v/>
      </c>
      <c r="K18" t="inlineStr">
        <is>
          <t>Non</t>
        </is>
      </c>
      <c r="L18" t="inlineStr"/>
    </row>
    <row r="19">
      <c r="C19" s="6" t="n">
        <v>0</v>
      </c>
      <c r="D19" s="6" t="n">
        <v>0</v>
      </c>
      <c r="E19" s="7">
        <f>SOMME($D$2:D19)-SOMME($C$2:C19)</f>
        <v/>
      </c>
      <c r="F19" s="3">
        <f>SI(E19&lt;=0;"⚠ SOLDE ÉPUISÉ — faire verser 500 €";"")</f>
        <v/>
      </c>
      <c r="G19" t="inlineStr">
        <is>
          <t>Non</t>
        </is>
      </c>
      <c r="H19" s="3">
        <f>SI(C19&gt;500;"⚠ Facture &gt; 500 € — à relancer";"")</f>
        <v/>
      </c>
      <c r="I19" s="2">
        <f>SOMME($C$2:$C$120)-SOMME.SI($C$2:$C$120;$G$2:$G$120;"Oui")</f>
        <v/>
      </c>
      <c r="J19" s="3">
        <f>SI(I19&gt;500;"⚠ ENVOYER MESSAGE PAIEMENT";"")</f>
        <v/>
      </c>
      <c r="K19" t="inlineStr">
        <is>
          <t>Non</t>
        </is>
      </c>
      <c r="L19" t="inlineStr"/>
    </row>
    <row r="20">
      <c r="C20" s="6" t="n">
        <v>0</v>
      </c>
      <c r="D20" s="6" t="n">
        <v>0</v>
      </c>
      <c r="E20" s="7">
        <f>SOMME($D$2:D20)-SOMME($C$2:C20)</f>
        <v/>
      </c>
      <c r="F20" s="3">
        <f>SI(E20&lt;=0;"⚠ SOLDE ÉPUISÉ — faire verser 500 €";"")</f>
        <v/>
      </c>
      <c r="G20" t="inlineStr">
        <is>
          <t>Non</t>
        </is>
      </c>
      <c r="H20" s="3">
        <f>SI(C20&gt;500;"⚠ Facture &gt; 500 € — à relancer";"")</f>
        <v/>
      </c>
      <c r="I20" s="2">
        <f>SOMME($C$2:$C$120)-SOMME.SI($C$2:$C$120;$G$2:$G$120;"Oui")</f>
        <v/>
      </c>
      <c r="J20" s="3">
        <f>SI(I20&gt;500;"⚠ ENVOYER MESSAGE PAIEMENT";"")</f>
        <v/>
      </c>
      <c r="K20" t="inlineStr">
        <is>
          <t>Non</t>
        </is>
      </c>
      <c r="L20" t="inlineStr"/>
    </row>
    <row r="21">
      <c r="C21" s="6" t="n">
        <v>0</v>
      </c>
      <c r="D21" s="6" t="n">
        <v>0</v>
      </c>
      <c r="E21" s="7">
        <f>SOMME($D$2:D21)-SOMME($C$2:C21)</f>
        <v/>
      </c>
      <c r="F21" s="3">
        <f>SI(E21&lt;=0;"⚠ SOLDE ÉPUISÉ — faire verser 500 €";"")</f>
        <v/>
      </c>
      <c r="G21" t="inlineStr">
        <is>
          <t>Non</t>
        </is>
      </c>
      <c r="H21" s="3">
        <f>SI(C21&gt;500;"⚠ Facture &gt; 500 € — à relancer";"")</f>
        <v/>
      </c>
      <c r="I21" s="2">
        <f>SOMME($C$2:$C$120)-SOMME.SI($C$2:$C$120;$G$2:$G$120;"Oui")</f>
        <v/>
      </c>
      <c r="J21" s="3">
        <f>SI(I21&gt;500;"⚠ ENVOYER MESSAGE PAIEMENT";"")</f>
        <v/>
      </c>
      <c r="K21" t="inlineStr">
        <is>
          <t>Non</t>
        </is>
      </c>
      <c r="L21" t="inlineStr"/>
    </row>
    <row r="22">
      <c r="C22" s="6" t="n">
        <v>0</v>
      </c>
      <c r="D22" s="6" t="n">
        <v>0</v>
      </c>
      <c r="E22" s="7">
        <f>SOMME($D$2:D22)-SOMME($C$2:C22)</f>
        <v/>
      </c>
      <c r="F22" s="3">
        <f>SI(E22&lt;=0;"⚠ SOLDE ÉPUISÉ — faire verser 500 €";"")</f>
        <v/>
      </c>
      <c r="G22" t="inlineStr">
        <is>
          <t>Non</t>
        </is>
      </c>
      <c r="H22" s="3">
        <f>SI(C22&gt;500;"⚠ Facture &gt; 500 € — à relancer";"")</f>
        <v/>
      </c>
      <c r="I22" s="2">
        <f>SOMME($C$2:$C$120)-SOMME.SI($C$2:$C$120;$G$2:$G$120;"Oui")</f>
        <v/>
      </c>
      <c r="J22" s="3">
        <f>SI(I22&gt;500;"⚠ ENVOYER MESSAGE PAIEMENT";"")</f>
        <v/>
      </c>
      <c r="K22" t="inlineStr">
        <is>
          <t>Non</t>
        </is>
      </c>
      <c r="L22" t="inlineStr"/>
    </row>
    <row r="23">
      <c r="C23" s="6" t="n">
        <v>0</v>
      </c>
      <c r="D23" s="6" t="n">
        <v>0</v>
      </c>
      <c r="E23" s="7">
        <f>SOMME($D$2:D23)-SOMME($C$2:C23)</f>
        <v/>
      </c>
      <c r="F23" s="3">
        <f>SI(E23&lt;=0;"⚠ SOLDE ÉPUISÉ — faire verser 500 €";"")</f>
        <v/>
      </c>
      <c r="G23" t="inlineStr">
        <is>
          <t>Non</t>
        </is>
      </c>
      <c r="H23" s="3">
        <f>SI(C23&gt;500;"⚠ Facture &gt; 500 € — à relancer";"")</f>
        <v/>
      </c>
      <c r="I23" s="2">
        <f>SOMME($C$2:$C$120)-SOMME.SI($C$2:$C$120;$G$2:$G$120;"Oui")</f>
        <v/>
      </c>
      <c r="J23" s="3">
        <f>SI(I23&gt;500;"⚠ ENVOYER MESSAGE PAIEMENT";"")</f>
        <v/>
      </c>
      <c r="K23" t="inlineStr">
        <is>
          <t>Non</t>
        </is>
      </c>
      <c r="L23" t="inlineStr"/>
    </row>
    <row r="24">
      <c r="C24" s="6" t="n">
        <v>0</v>
      </c>
      <c r="D24" s="6" t="n">
        <v>0</v>
      </c>
      <c r="E24" s="7">
        <f>SOMME($D$2:D24)-SOMME($C$2:C24)</f>
        <v/>
      </c>
      <c r="F24" s="3">
        <f>SI(E24&lt;=0;"⚠ SOLDE ÉPUISÉ — faire verser 500 €";"")</f>
        <v/>
      </c>
      <c r="G24" t="inlineStr">
        <is>
          <t>Non</t>
        </is>
      </c>
      <c r="H24" s="3">
        <f>SI(C24&gt;500;"⚠ Facture &gt; 500 € — à relancer";"")</f>
        <v/>
      </c>
      <c r="I24" s="2">
        <f>SOMME($C$2:$C$120)-SOMME.SI($C$2:$C$120;$G$2:$G$120;"Oui")</f>
        <v/>
      </c>
      <c r="J24" s="3">
        <f>SI(I24&gt;500;"⚠ ENVOYER MESSAGE PAIEMENT";"")</f>
        <v/>
      </c>
      <c r="K24" t="inlineStr">
        <is>
          <t>Non</t>
        </is>
      </c>
      <c r="L24" t="inlineStr"/>
    </row>
    <row r="25">
      <c r="C25" s="6" t="n">
        <v>0</v>
      </c>
      <c r="D25" s="6" t="n">
        <v>0</v>
      </c>
      <c r="E25" s="7">
        <f>SOMME($D$2:D25)-SOMME($C$2:C25)</f>
        <v/>
      </c>
      <c r="F25" s="3">
        <f>SI(E25&lt;=0;"⚠ SOLDE ÉPUISÉ — faire verser 500 €";"")</f>
        <v/>
      </c>
      <c r="G25" t="inlineStr">
        <is>
          <t>Non</t>
        </is>
      </c>
      <c r="H25" s="3">
        <f>SI(C25&gt;500;"⚠ Facture &gt; 500 € — à relancer";"")</f>
        <v/>
      </c>
      <c r="I25" s="2">
        <f>SOMME($C$2:$C$120)-SOMME.SI($C$2:$C$120;$G$2:$G$120;"Oui")</f>
        <v/>
      </c>
      <c r="J25" s="3">
        <f>SI(I25&gt;500;"⚠ ENVOYER MESSAGE PAIEMENT";"")</f>
        <v/>
      </c>
      <c r="K25" t="inlineStr">
        <is>
          <t>Non</t>
        </is>
      </c>
      <c r="L25" t="inlineStr"/>
    </row>
    <row r="26">
      <c r="C26" s="6" t="n">
        <v>0</v>
      </c>
      <c r="D26" s="6" t="n">
        <v>0</v>
      </c>
      <c r="E26" s="7">
        <f>SOMME($D$2:D26)-SOMME($C$2:C26)</f>
        <v/>
      </c>
      <c r="F26" s="3">
        <f>SI(E26&lt;=0;"⚠ SOLDE ÉPUISÉ — faire verser 500 €";"")</f>
        <v/>
      </c>
      <c r="G26" t="inlineStr">
        <is>
          <t>Non</t>
        </is>
      </c>
      <c r="H26" s="3">
        <f>SI(C26&gt;500;"⚠ Facture &gt; 500 € — à relancer";"")</f>
        <v/>
      </c>
      <c r="I26" s="2">
        <f>SOMME($C$2:$C$120)-SOMME.SI($C$2:$C$120;$G$2:$G$120;"Oui")</f>
        <v/>
      </c>
      <c r="J26" s="3">
        <f>SI(I26&gt;500;"⚠ ENVOYER MESSAGE PAIEMENT";"")</f>
        <v/>
      </c>
      <c r="K26" t="inlineStr">
        <is>
          <t>Non</t>
        </is>
      </c>
      <c r="L26" t="inlineStr"/>
    </row>
    <row r="27">
      <c r="C27" s="6" t="n">
        <v>0</v>
      </c>
      <c r="D27" s="6" t="n">
        <v>0</v>
      </c>
      <c r="E27" s="7">
        <f>SOMME($D$2:D27)-SOMME($C$2:C27)</f>
        <v/>
      </c>
      <c r="F27" s="3">
        <f>SI(E27&lt;=0;"⚠ SOLDE ÉPUISÉ — faire verser 500 €";"")</f>
        <v/>
      </c>
      <c r="G27" t="inlineStr">
        <is>
          <t>Non</t>
        </is>
      </c>
      <c r="H27" s="3">
        <f>SI(C27&gt;500;"⚠ Facture &gt; 500 € — à relancer";"")</f>
        <v/>
      </c>
      <c r="I27" s="2">
        <f>SOMME($C$2:$C$120)-SOMME.SI($C$2:$C$120;$G$2:$G$120;"Oui")</f>
        <v/>
      </c>
      <c r="J27" s="3">
        <f>SI(I27&gt;500;"⚠ ENVOYER MESSAGE PAIEMENT";"")</f>
        <v/>
      </c>
      <c r="K27" t="inlineStr">
        <is>
          <t>Non</t>
        </is>
      </c>
      <c r="L27" t="inlineStr"/>
    </row>
    <row r="28">
      <c r="C28" s="6" t="n">
        <v>0</v>
      </c>
      <c r="D28" s="6" t="n">
        <v>0</v>
      </c>
      <c r="E28" s="7">
        <f>SOMME($D$2:D28)-SOMME($C$2:C28)</f>
        <v/>
      </c>
      <c r="F28" s="3">
        <f>SI(E28&lt;=0;"⚠ SOLDE ÉPUISÉ — faire verser 500 €";"")</f>
        <v/>
      </c>
      <c r="G28" t="inlineStr">
        <is>
          <t>Non</t>
        </is>
      </c>
      <c r="H28" s="3">
        <f>SI(C28&gt;500;"⚠ Facture &gt; 500 € — à relancer";"")</f>
        <v/>
      </c>
      <c r="I28" s="2">
        <f>SOMME($C$2:$C$120)-SOMME.SI($C$2:$C$120;$G$2:$G$120;"Oui")</f>
        <v/>
      </c>
      <c r="J28" s="3">
        <f>SI(I28&gt;500;"⚠ ENVOYER MESSAGE PAIEMENT";"")</f>
        <v/>
      </c>
      <c r="K28" t="inlineStr">
        <is>
          <t>Non</t>
        </is>
      </c>
      <c r="L28" t="inlineStr"/>
    </row>
    <row r="29">
      <c r="C29" s="6" t="n">
        <v>0</v>
      </c>
      <c r="D29" s="6" t="n">
        <v>0</v>
      </c>
      <c r="E29" s="7">
        <f>SOMME($D$2:D29)-SOMME($C$2:C29)</f>
        <v/>
      </c>
      <c r="F29" s="3">
        <f>SI(E29&lt;=0;"⚠ SOLDE ÉPUISÉ — faire verser 500 €";"")</f>
        <v/>
      </c>
      <c r="G29" t="inlineStr">
        <is>
          <t>Non</t>
        </is>
      </c>
      <c r="H29" s="3">
        <f>SI(C29&gt;500;"⚠ Facture &gt; 500 € — à relancer";"")</f>
        <v/>
      </c>
      <c r="I29" s="2">
        <f>SOMME($C$2:$C$120)-SOMME.SI($C$2:$C$120;$G$2:$G$120;"Oui")</f>
        <v/>
      </c>
      <c r="J29" s="3">
        <f>SI(I29&gt;500;"⚠ ENVOYER MESSAGE PAIEMENT";"")</f>
        <v/>
      </c>
      <c r="K29" t="inlineStr">
        <is>
          <t>Non</t>
        </is>
      </c>
      <c r="L29" t="inlineStr"/>
    </row>
    <row r="30">
      <c r="C30" s="6" t="n">
        <v>0</v>
      </c>
      <c r="D30" s="6" t="n">
        <v>0</v>
      </c>
      <c r="E30" s="7">
        <f>SOMME($D$2:D30)-SOMME($C$2:C30)</f>
        <v/>
      </c>
      <c r="F30" s="3">
        <f>SI(E30&lt;=0;"⚠ SOLDE ÉPUISÉ — faire verser 500 €";"")</f>
        <v/>
      </c>
      <c r="G30" t="inlineStr">
        <is>
          <t>Non</t>
        </is>
      </c>
      <c r="H30" s="3">
        <f>SI(C30&gt;500;"⚠ Facture &gt; 500 € — à relancer";"")</f>
        <v/>
      </c>
      <c r="I30" s="2">
        <f>SOMME($C$2:$C$120)-SOMME.SI($C$2:$C$120;$G$2:$G$120;"Oui")</f>
        <v/>
      </c>
      <c r="J30" s="3">
        <f>SI(I30&gt;500;"⚠ ENVOYER MESSAGE PAIEMENT";"")</f>
        <v/>
      </c>
      <c r="K30" t="inlineStr">
        <is>
          <t>Non</t>
        </is>
      </c>
      <c r="L30" t="inlineStr"/>
    </row>
    <row r="31">
      <c r="C31" s="6" t="n">
        <v>0</v>
      </c>
      <c r="D31" s="6" t="n">
        <v>0</v>
      </c>
      <c r="E31" s="7">
        <f>SOMME($D$2:D31)-SOMME($C$2:C31)</f>
        <v/>
      </c>
      <c r="F31" s="3">
        <f>SI(E31&lt;=0;"⚠ SOLDE ÉPUISÉ — faire verser 500 €";"")</f>
        <v/>
      </c>
      <c r="G31" t="inlineStr">
        <is>
          <t>Non</t>
        </is>
      </c>
      <c r="H31" s="3">
        <f>SI(C31&gt;500;"⚠ Facture &gt; 500 € — à relancer";"")</f>
        <v/>
      </c>
      <c r="I31" s="2">
        <f>SOMME($C$2:$C$120)-SOMME.SI($C$2:$C$120;$G$2:$G$120;"Oui")</f>
        <v/>
      </c>
      <c r="J31" s="3">
        <f>SI(I31&gt;500;"⚠ ENVOYER MESSAGE PAIEMENT";"")</f>
        <v/>
      </c>
      <c r="K31" t="inlineStr">
        <is>
          <t>Non</t>
        </is>
      </c>
      <c r="L31" t="inlineStr"/>
    </row>
    <row r="32">
      <c r="C32" s="6" t="n">
        <v>0</v>
      </c>
      <c r="D32" s="6" t="n">
        <v>0</v>
      </c>
      <c r="E32" s="7">
        <f>SOMME($D$2:D32)-SOMME($C$2:C32)</f>
        <v/>
      </c>
      <c r="F32" s="3">
        <f>SI(E32&lt;=0;"⚠ SOLDE ÉPUISÉ — faire verser 500 €";"")</f>
        <v/>
      </c>
      <c r="G32" t="inlineStr">
        <is>
          <t>Non</t>
        </is>
      </c>
      <c r="H32" s="3">
        <f>SI(C32&gt;500;"⚠ Facture &gt; 500 € — à relancer";"")</f>
        <v/>
      </c>
      <c r="I32" s="2">
        <f>SOMME($C$2:$C$120)-SOMME.SI($C$2:$C$120;$G$2:$G$120;"Oui")</f>
        <v/>
      </c>
      <c r="J32" s="3">
        <f>SI(I32&gt;500;"⚠ ENVOYER MESSAGE PAIEMENT";"")</f>
        <v/>
      </c>
      <c r="K32" t="inlineStr">
        <is>
          <t>Non</t>
        </is>
      </c>
      <c r="L32" t="inlineStr"/>
    </row>
    <row r="33">
      <c r="C33" s="6" t="n">
        <v>0</v>
      </c>
      <c r="D33" s="6" t="n">
        <v>0</v>
      </c>
      <c r="E33" s="7">
        <f>SOMME($D$2:D33)-SOMME($C$2:C33)</f>
        <v/>
      </c>
      <c r="F33" s="3">
        <f>SI(E33&lt;=0;"⚠ SOLDE ÉPUISÉ — faire verser 500 €";"")</f>
        <v/>
      </c>
      <c r="G33" t="inlineStr">
        <is>
          <t>Non</t>
        </is>
      </c>
      <c r="H33" s="3">
        <f>SI(C33&gt;500;"⚠ Facture &gt; 500 € — à relancer";"")</f>
        <v/>
      </c>
      <c r="I33" s="2">
        <f>SOMME($C$2:$C$120)-SOMME.SI($C$2:$C$120;$G$2:$G$120;"Oui")</f>
        <v/>
      </c>
      <c r="J33" s="3">
        <f>SI(I33&gt;500;"⚠ ENVOYER MESSAGE PAIEMENT";"")</f>
        <v/>
      </c>
      <c r="K33" t="inlineStr">
        <is>
          <t>Non</t>
        </is>
      </c>
      <c r="L33" t="inlineStr"/>
    </row>
    <row r="34">
      <c r="C34" s="6" t="n">
        <v>0</v>
      </c>
      <c r="D34" s="6" t="n">
        <v>0</v>
      </c>
      <c r="E34" s="7">
        <f>SOMME($D$2:D34)-SOMME($C$2:C34)</f>
        <v/>
      </c>
      <c r="F34" s="3">
        <f>SI(E34&lt;=0;"⚠ SOLDE ÉPUISÉ — faire verser 500 €";"")</f>
        <v/>
      </c>
      <c r="G34" t="inlineStr">
        <is>
          <t>Non</t>
        </is>
      </c>
      <c r="H34" s="3">
        <f>SI(C34&gt;500;"⚠ Facture &gt; 500 € — à relancer";"")</f>
        <v/>
      </c>
      <c r="I34" s="2">
        <f>SOMME($C$2:$C$120)-SOMME.SI($C$2:$C$120;$G$2:$G$120;"Oui")</f>
        <v/>
      </c>
      <c r="J34" s="3">
        <f>SI(I34&gt;500;"⚠ ENVOYER MESSAGE PAIEMENT";"")</f>
        <v/>
      </c>
      <c r="K34" t="inlineStr">
        <is>
          <t>Non</t>
        </is>
      </c>
      <c r="L34" t="inlineStr"/>
    </row>
    <row r="35">
      <c r="C35" s="6" t="n">
        <v>0</v>
      </c>
      <c r="D35" s="6" t="n">
        <v>0</v>
      </c>
      <c r="E35" s="7">
        <f>SOMME($D$2:D35)-SOMME($C$2:C35)</f>
        <v/>
      </c>
      <c r="F35" s="3">
        <f>SI(E35&lt;=0;"⚠ SOLDE ÉPUISÉ — faire verser 500 €";"")</f>
        <v/>
      </c>
      <c r="G35" t="inlineStr">
        <is>
          <t>Non</t>
        </is>
      </c>
      <c r="H35" s="3">
        <f>SI(C35&gt;500;"⚠ Facture &gt; 500 € — à relancer";"")</f>
        <v/>
      </c>
      <c r="I35" s="2">
        <f>SOMME($C$2:$C$120)-SOMME.SI($C$2:$C$120;$G$2:$G$120;"Oui")</f>
        <v/>
      </c>
      <c r="J35" s="3">
        <f>SI(I35&gt;500;"⚠ ENVOYER MESSAGE PAIEMENT";"")</f>
        <v/>
      </c>
      <c r="K35" t="inlineStr">
        <is>
          <t>Non</t>
        </is>
      </c>
      <c r="L35" t="inlineStr"/>
    </row>
    <row r="36">
      <c r="C36" s="6" t="n">
        <v>0</v>
      </c>
      <c r="D36" s="6" t="n">
        <v>0</v>
      </c>
      <c r="E36" s="7">
        <f>SOMME($D$2:D36)-SOMME($C$2:C36)</f>
        <v/>
      </c>
      <c r="F36" s="3">
        <f>SI(E36&lt;=0;"⚠ SOLDE ÉPUISÉ — faire verser 500 €";"")</f>
        <v/>
      </c>
      <c r="G36" t="inlineStr">
        <is>
          <t>Non</t>
        </is>
      </c>
      <c r="H36" s="3">
        <f>SI(C36&gt;500;"⚠ Facture &gt; 500 € — à relancer";"")</f>
        <v/>
      </c>
      <c r="I36" s="2">
        <f>SOMME($C$2:$C$120)-SOMME.SI($C$2:$C$120;$G$2:$G$120;"Oui")</f>
        <v/>
      </c>
      <c r="J36" s="3">
        <f>SI(I36&gt;500;"⚠ ENVOYER MESSAGE PAIEMENT";"")</f>
        <v/>
      </c>
      <c r="K36" t="inlineStr">
        <is>
          <t>Non</t>
        </is>
      </c>
      <c r="L36" t="inlineStr"/>
    </row>
    <row r="37">
      <c r="C37" s="6" t="n">
        <v>0</v>
      </c>
      <c r="D37" s="6" t="n">
        <v>0</v>
      </c>
      <c r="E37" s="7">
        <f>SOMME($D$2:D37)-SOMME($C$2:C37)</f>
        <v/>
      </c>
      <c r="F37" s="3">
        <f>SI(E37&lt;=0;"⚠ SOLDE ÉPUISÉ — faire verser 500 €";"")</f>
        <v/>
      </c>
      <c r="G37" t="inlineStr">
        <is>
          <t>Non</t>
        </is>
      </c>
      <c r="H37" s="3">
        <f>SI(C37&gt;500;"⚠ Facture &gt; 500 € — à relancer";"")</f>
        <v/>
      </c>
      <c r="I37" s="2">
        <f>SOMME($C$2:$C$120)-SOMME.SI($C$2:$C$120;$G$2:$G$120;"Oui")</f>
        <v/>
      </c>
      <c r="J37" s="3">
        <f>SI(I37&gt;500;"⚠ ENVOYER MESSAGE PAIEMENT";"")</f>
        <v/>
      </c>
      <c r="K37" t="inlineStr">
        <is>
          <t>Non</t>
        </is>
      </c>
      <c r="L37" t="inlineStr"/>
    </row>
    <row r="38">
      <c r="C38" s="6" t="n">
        <v>0</v>
      </c>
      <c r="D38" s="6" t="n">
        <v>0</v>
      </c>
      <c r="E38" s="7">
        <f>SOMME($D$2:D38)-SOMME($C$2:C38)</f>
        <v/>
      </c>
      <c r="F38" s="3">
        <f>SI(E38&lt;=0;"⚠ SOLDE ÉPUISÉ — faire verser 500 €";"")</f>
        <v/>
      </c>
      <c r="G38" t="inlineStr">
        <is>
          <t>Non</t>
        </is>
      </c>
      <c r="H38" s="3">
        <f>SI(C38&gt;500;"⚠ Facture &gt; 500 € — à relancer";"")</f>
        <v/>
      </c>
      <c r="I38" s="2">
        <f>SOMME($C$2:$C$120)-SOMME.SI($C$2:$C$120;$G$2:$G$120;"Oui")</f>
        <v/>
      </c>
      <c r="J38" s="3">
        <f>SI(I38&gt;500;"⚠ ENVOYER MESSAGE PAIEMENT";"")</f>
        <v/>
      </c>
      <c r="K38" t="inlineStr">
        <is>
          <t>Non</t>
        </is>
      </c>
      <c r="L38" t="inlineStr"/>
    </row>
    <row r="39">
      <c r="C39" s="6" t="n">
        <v>0</v>
      </c>
      <c r="D39" s="6" t="n">
        <v>0</v>
      </c>
      <c r="E39" s="7">
        <f>SOMME($D$2:D39)-SOMME($C$2:C39)</f>
        <v/>
      </c>
      <c r="F39" s="3">
        <f>SI(E39&lt;=0;"⚠ SOLDE ÉPUISÉ — faire verser 500 €";"")</f>
        <v/>
      </c>
      <c r="G39" t="inlineStr">
        <is>
          <t>Non</t>
        </is>
      </c>
      <c r="H39" s="3">
        <f>SI(C39&gt;500;"⚠ Facture &gt; 500 € — à relancer";"")</f>
        <v/>
      </c>
      <c r="I39" s="2">
        <f>SOMME($C$2:$C$120)-SOMME.SI($C$2:$C$120;$G$2:$G$120;"Oui")</f>
        <v/>
      </c>
      <c r="J39" s="3">
        <f>SI(I39&gt;500;"⚠ ENVOYER MESSAGE PAIEMENT";"")</f>
        <v/>
      </c>
      <c r="K39" t="inlineStr">
        <is>
          <t>Non</t>
        </is>
      </c>
      <c r="L39" t="inlineStr"/>
    </row>
    <row r="40">
      <c r="C40" s="6" t="n">
        <v>0</v>
      </c>
      <c r="D40" s="6" t="n">
        <v>0</v>
      </c>
      <c r="E40" s="7">
        <f>SOMME($D$2:D40)-SOMME($C$2:C40)</f>
        <v/>
      </c>
      <c r="F40" s="3">
        <f>SI(E40&lt;=0;"⚠ SOLDE ÉPUISÉ — faire verser 500 €";"")</f>
        <v/>
      </c>
      <c r="G40" t="inlineStr">
        <is>
          <t>Non</t>
        </is>
      </c>
      <c r="H40" s="3">
        <f>SI(C40&gt;500;"⚠ Facture &gt; 500 € — à relancer";"")</f>
        <v/>
      </c>
      <c r="I40" s="2">
        <f>SOMME($C$2:$C$120)-SOMME.SI($C$2:$C$120;$G$2:$G$120;"Oui")</f>
        <v/>
      </c>
      <c r="J40" s="3">
        <f>SI(I40&gt;500;"⚠ ENVOYER MESSAGE PAIEMENT";"")</f>
        <v/>
      </c>
      <c r="K40" t="inlineStr">
        <is>
          <t>Non</t>
        </is>
      </c>
      <c r="L40" t="inlineStr"/>
    </row>
    <row r="41">
      <c r="C41" s="6" t="n">
        <v>0</v>
      </c>
      <c r="D41" s="6" t="n">
        <v>0</v>
      </c>
      <c r="E41" s="7">
        <f>SOMME($D$2:D41)-SOMME($C$2:C41)</f>
        <v/>
      </c>
      <c r="F41" s="3">
        <f>SI(E41&lt;=0;"⚠ SOLDE ÉPUISÉ — faire verser 500 €";"")</f>
        <v/>
      </c>
      <c r="G41" t="inlineStr">
        <is>
          <t>Non</t>
        </is>
      </c>
      <c r="H41" s="3">
        <f>SI(C41&gt;500;"⚠ Facture &gt; 500 € — à relancer";"")</f>
        <v/>
      </c>
      <c r="I41" s="2">
        <f>SOMME($C$2:$C$120)-SOMME.SI($C$2:$C$120;$G$2:$G$120;"Oui")</f>
        <v/>
      </c>
      <c r="J41" s="3">
        <f>SI(I41&gt;500;"⚠ ENVOYER MESSAGE PAIEMENT";"")</f>
        <v/>
      </c>
      <c r="K41" t="inlineStr">
        <is>
          <t>Non</t>
        </is>
      </c>
      <c r="L41" t="inlineStr"/>
    </row>
    <row r="42">
      <c r="C42" s="6" t="n">
        <v>0</v>
      </c>
      <c r="D42" s="6" t="n">
        <v>0</v>
      </c>
      <c r="E42" s="7">
        <f>SOMME($D$2:D42)-SOMME($C$2:C42)</f>
        <v/>
      </c>
      <c r="F42" s="3">
        <f>SI(E42&lt;=0;"⚠ SOLDE ÉPUISÉ — faire verser 500 €";"")</f>
        <v/>
      </c>
      <c r="G42" t="inlineStr">
        <is>
          <t>Non</t>
        </is>
      </c>
      <c r="H42" s="3">
        <f>SI(C42&gt;500;"⚠ Facture &gt; 500 € — à relancer";"")</f>
        <v/>
      </c>
      <c r="I42" s="2">
        <f>SOMME($C$2:$C$120)-SOMME.SI($C$2:$C$120;$G$2:$G$120;"Oui")</f>
        <v/>
      </c>
      <c r="J42" s="3">
        <f>SI(I42&gt;500;"⚠ ENVOYER MESSAGE PAIEMENT";"")</f>
        <v/>
      </c>
      <c r="K42" t="inlineStr">
        <is>
          <t>Non</t>
        </is>
      </c>
      <c r="L42" t="inlineStr"/>
    </row>
    <row r="43">
      <c r="C43" s="6" t="n">
        <v>0</v>
      </c>
      <c r="D43" s="6" t="n">
        <v>0</v>
      </c>
      <c r="E43" s="7">
        <f>SOMME($D$2:D43)-SOMME($C$2:C43)</f>
        <v/>
      </c>
      <c r="F43" s="3">
        <f>SI(E43&lt;=0;"⚠ SOLDE ÉPUISÉ — faire verser 500 €";"")</f>
        <v/>
      </c>
      <c r="G43" t="inlineStr">
        <is>
          <t>Non</t>
        </is>
      </c>
      <c r="H43" s="3">
        <f>SI(C43&gt;500;"⚠ Facture &gt; 500 € — à relancer";"")</f>
        <v/>
      </c>
      <c r="I43" s="2">
        <f>SOMME($C$2:$C$120)-SOMME.SI($C$2:$C$120;$G$2:$G$120;"Oui")</f>
        <v/>
      </c>
      <c r="J43" s="3">
        <f>SI(I43&gt;500;"⚠ ENVOYER MESSAGE PAIEMENT";"")</f>
        <v/>
      </c>
      <c r="K43" t="inlineStr">
        <is>
          <t>Non</t>
        </is>
      </c>
      <c r="L43" t="inlineStr"/>
    </row>
    <row r="44">
      <c r="C44" s="6" t="n">
        <v>0</v>
      </c>
      <c r="D44" s="6" t="n">
        <v>0</v>
      </c>
      <c r="E44" s="7">
        <f>SOMME($D$2:D44)-SOMME($C$2:C44)</f>
        <v/>
      </c>
      <c r="F44" s="3">
        <f>SI(E44&lt;=0;"⚠ SOLDE ÉPUISÉ — faire verser 500 €";"")</f>
        <v/>
      </c>
      <c r="G44" t="inlineStr">
        <is>
          <t>Non</t>
        </is>
      </c>
      <c r="H44" s="3">
        <f>SI(C44&gt;500;"⚠ Facture &gt; 500 € — à relancer";"")</f>
        <v/>
      </c>
      <c r="I44" s="2">
        <f>SOMME($C$2:$C$120)-SOMME.SI($C$2:$C$120;$G$2:$G$120;"Oui")</f>
        <v/>
      </c>
      <c r="J44" s="3">
        <f>SI(I44&gt;500;"⚠ ENVOYER MESSAGE PAIEMENT";"")</f>
        <v/>
      </c>
      <c r="K44" t="inlineStr">
        <is>
          <t>Non</t>
        </is>
      </c>
      <c r="L44" t="inlineStr"/>
    </row>
    <row r="45">
      <c r="C45" s="6" t="n">
        <v>0</v>
      </c>
      <c r="D45" s="6" t="n">
        <v>0</v>
      </c>
      <c r="E45" s="7">
        <f>SOMME($D$2:D45)-SOMME($C$2:C45)</f>
        <v/>
      </c>
      <c r="F45" s="3">
        <f>SI(E45&lt;=0;"⚠ SOLDE ÉPUISÉ — faire verser 500 €";"")</f>
        <v/>
      </c>
      <c r="G45" t="inlineStr">
        <is>
          <t>Non</t>
        </is>
      </c>
      <c r="H45" s="3">
        <f>SI(C45&gt;500;"⚠ Facture &gt; 500 € — à relancer";"")</f>
        <v/>
      </c>
      <c r="I45" s="2">
        <f>SOMME($C$2:$C$120)-SOMME.SI($C$2:$C$120;$G$2:$G$120;"Oui")</f>
        <v/>
      </c>
      <c r="J45" s="3">
        <f>SI(I45&gt;500;"⚠ ENVOYER MESSAGE PAIEMENT";"")</f>
        <v/>
      </c>
      <c r="K45" t="inlineStr">
        <is>
          <t>Non</t>
        </is>
      </c>
      <c r="L45" t="inlineStr"/>
    </row>
    <row r="46">
      <c r="C46" s="6" t="n">
        <v>0</v>
      </c>
      <c r="D46" s="6" t="n">
        <v>0</v>
      </c>
      <c r="E46" s="7">
        <f>SOMME($D$2:D46)-SOMME($C$2:C46)</f>
        <v/>
      </c>
      <c r="F46" s="3">
        <f>SI(E46&lt;=0;"⚠ SOLDE ÉPUISÉ — faire verser 500 €";"")</f>
        <v/>
      </c>
      <c r="G46" t="inlineStr">
        <is>
          <t>Non</t>
        </is>
      </c>
      <c r="H46" s="3">
        <f>SI(C46&gt;500;"⚠ Facture &gt; 500 € — à relancer";"")</f>
        <v/>
      </c>
      <c r="I46" s="2">
        <f>SOMME($C$2:$C$120)-SOMME.SI($C$2:$C$120;$G$2:$G$120;"Oui")</f>
        <v/>
      </c>
      <c r="J46" s="3">
        <f>SI(I46&gt;500;"⚠ ENVOYER MESSAGE PAIEMENT";"")</f>
        <v/>
      </c>
      <c r="K46" t="inlineStr">
        <is>
          <t>Non</t>
        </is>
      </c>
      <c r="L46" t="inlineStr"/>
    </row>
    <row r="47">
      <c r="C47" s="6" t="n">
        <v>0</v>
      </c>
      <c r="D47" s="6" t="n">
        <v>0</v>
      </c>
      <c r="E47" s="7">
        <f>SOMME($D$2:D47)-SOMME($C$2:C47)</f>
        <v/>
      </c>
      <c r="F47" s="3">
        <f>SI(E47&lt;=0;"⚠ SOLDE ÉPUISÉ — faire verser 500 €";"")</f>
        <v/>
      </c>
      <c r="G47" t="inlineStr">
        <is>
          <t>Non</t>
        </is>
      </c>
      <c r="H47" s="3">
        <f>SI(C47&gt;500;"⚠ Facture &gt; 500 € — à relancer";"")</f>
        <v/>
      </c>
      <c r="I47" s="2">
        <f>SOMME($C$2:$C$120)-SOMME.SI($C$2:$C$120;$G$2:$G$120;"Oui")</f>
        <v/>
      </c>
      <c r="J47" s="3">
        <f>SI(I47&gt;500;"⚠ ENVOYER MESSAGE PAIEMENT";"")</f>
        <v/>
      </c>
      <c r="K47" t="inlineStr">
        <is>
          <t>Non</t>
        </is>
      </c>
      <c r="L47" t="inlineStr"/>
    </row>
    <row r="48">
      <c r="C48" s="6" t="n">
        <v>0</v>
      </c>
      <c r="D48" s="6" t="n">
        <v>0</v>
      </c>
      <c r="E48" s="7">
        <f>SOMME($D$2:D48)-SOMME($C$2:C48)</f>
        <v/>
      </c>
      <c r="F48" s="3">
        <f>SI(E48&lt;=0;"⚠ SOLDE ÉPUISÉ — faire verser 500 €";"")</f>
        <v/>
      </c>
      <c r="G48" t="inlineStr">
        <is>
          <t>Non</t>
        </is>
      </c>
      <c r="H48" s="3">
        <f>SI(C48&gt;500;"⚠ Facture &gt; 500 € — à relancer";"")</f>
        <v/>
      </c>
      <c r="I48" s="2">
        <f>SOMME($C$2:$C$120)-SOMME.SI($C$2:$C$120;$G$2:$G$120;"Oui")</f>
        <v/>
      </c>
      <c r="J48" s="3">
        <f>SI(I48&gt;500;"⚠ ENVOYER MESSAGE PAIEMENT";"")</f>
        <v/>
      </c>
      <c r="K48" t="inlineStr">
        <is>
          <t>Non</t>
        </is>
      </c>
      <c r="L48" t="inlineStr"/>
    </row>
    <row r="49">
      <c r="C49" s="6" t="n">
        <v>0</v>
      </c>
      <c r="D49" s="6" t="n">
        <v>0</v>
      </c>
      <c r="E49" s="7">
        <f>SOMME($D$2:D49)-SOMME($C$2:C49)</f>
        <v/>
      </c>
      <c r="F49" s="3">
        <f>SI(E49&lt;=0;"⚠ SOLDE ÉPUISÉ — faire verser 500 €";"")</f>
        <v/>
      </c>
      <c r="G49" t="inlineStr">
        <is>
          <t>Non</t>
        </is>
      </c>
      <c r="H49" s="3">
        <f>SI(C49&gt;500;"⚠ Facture &gt; 500 € — à relancer";"")</f>
        <v/>
      </c>
      <c r="I49" s="2">
        <f>SOMME($C$2:$C$120)-SOMME.SI($C$2:$C$120;$G$2:$G$120;"Oui")</f>
        <v/>
      </c>
      <c r="J49" s="3">
        <f>SI(I49&gt;500;"⚠ ENVOYER MESSAGE PAIEMENT";"")</f>
        <v/>
      </c>
      <c r="K49" t="inlineStr">
        <is>
          <t>Non</t>
        </is>
      </c>
      <c r="L49" t="inlineStr"/>
    </row>
    <row r="50">
      <c r="C50" s="6" t="n">
        <v>0</v>
      </c>
      <c r="D50" s="6" t="n">
        <v>0</v>
      </c>
      <c r="E50" s="7">
        <f>SOMME($D$2:D50)-SOMME($C$2:C50)</f>
        <v/>
      </c>
      <c r="F50" s="3">
        <f>SI(E50&lt;=0;"⚠ SOLDE ÉPUISÉ — faire verser 500 €";"")</f>
        <v/>
      </c>
      <c r="G50" t="inlineStr">
        <is>
          <t>Non</t>
        </is>
      </c>
      <c r="H50" s="3">
        <f>SI(C50&gt;500;"⚠ Facture &gt; 500 € — à relancer";"")</f>
        <v/>
      </c>
      <c r="I50" s="2">
        <f>SOMME($C$2:$C$120)-SOMME.SI($C$2:$C$120;$G$2:$G$120;"Oui")</f>
        <v/>
      </c>
      <c r="J50" s="3">
        <f>SI(I50&gt;500;"⚠ ENVOYER MESSAGE PAIEMENT";"")</f>
        <v/>
      </c>
      <c r="K50" t="inlineStr">
        <is>
          <t>Non</t>
        </is>
      </c>
      <c r="L50" t="inlineStr"/>
    </row>
    <row r="51">
      <c r="C51" s="6" t="n">
        <v>0</v>
      </c>
      <c r="D51" s="6" t="n">
        <v>0</v>
      </c>
      <c r="E51" s="7">
        <f>SOMME($D$2:D51)-SOMME($C$2:C51)</f>
        <v/>
      </c>
      <c r="F51" s="3">
        <f>SI(E51&lt;=0;"⚠ SOLDE ÉPUISÉ — faire verser 500 €";"")</f>
        <v/>
      </c>
      <c r="G51" t="inlineStr">
        <is>
          <t>Non</t>
        </is>
      </c>
      <c r="H51" s="3">
        <f>SI(C51&gt;500;"⚠ Facture &gt; 500 € — à relancer";"")</f>
        <v/>
      </c>
      <c r="I51" s="2">
        <f>SOMME($C$2:$C$120)-SOMME.SI($C$2:$C$120;$G$2:$G$120;"Oui")</f>
        <v/>
      </c>
      <c r="J51" s="3">
        <f>SI(I51&gt;500;"⚠ ENVOYER MESSAGE PAIEMENT";"")</f>
        <v/>
      </c>
      <c r="K51" t="inlineStr">
        <is>
          <t>Non</t>
        </is>
      </c>
      <c r="L51" t="inlineStr"/>
    </row>
    <row r="52">
      <c r="C52" s="6" t="n">
        <v>0</v>
      </c>
      <c r="D52" s="6" t="n">
        <v>0</v>
      </c>
      <c r="E52" s="7">
        <f>SOMME($D$2:D52)-SOMME($C$2:C52)</f>
        <v/>
      </c>
      <c r="F52" s="3">
        <f>SI(E52&lt;=0;"⚠ SOLDE ÉPUISÉ — faire verser 500 €";"")</f>
        <v/>
      </c>
      <c r="G52" t="inlineStr">
        <is>
          <t>Non</t>
        </is>
      </c>
      <c r="H52" s="3">
        <f>SI(C52&gt;500;"⚠ Facture &gt; 500 € — à relancer";"")</f>
        <v/>
      </c>
      <c r="I52" s="2">
        <f>SOMME($C$2:$C$120)-SOMME.SI($C$2:$C$120;$G$2:$G$120;"Oui")</f>
        <v/>
      </c>
      <c r="J52" s="3">
        <f>SI(I52&gt;500;"⚠ ENVOYER MESSAGE PAIEMENT";"")</f>
        <v/>
      </c>
      <c r="K52" t="inlineStr">
        <is>
          <t>Non</t>
        </is>
      </c>
      <c r="L52" t="inlineStr"/>
    </row>
    <row r="53">
      <c r="C53" s="6" t="n">
        <v>0</v>
      </c>
      <c r="D53" s="6" t="n">
        <v>0</v>
      </c>
      <c r="E53" s="7">
        <f>SOMME($D$2:D53)-SOMME($C$2:C53)</f>
        <v/>
      </c>
      <c r="F53" s="3">
        <f>SI(E53&lt;=0;"⚠ SOLDE ÉPUISÉ — faire verser 500 €";"")</f>
        <v/>
      </c>
      <c r="G53" t="inlineStr">
        <is>
          <t>Non</t>
        </is>
      </c>
      <c r="H53" s="3">
        <f>SI(C53&gt;500;"⚠ Facture &gt; 500 € — à relancer";"")</f>
        <v/>
      </c>
      <c r="I53" s="2">
        <f>SOMME($C$2:$C$120)-SOMME.SI($C$2:$C$120;$G$2:$G$120;"Oui")</f>
        <v/>
      </c>
      <c r="J53" s="3">
        <f>SI(I53&gt;500;"⚠ ENVOYER MESSAGE PAIEMENT";"")</f>
        <v/>
      </c>
      <c r="K53" t="inlineStr">
        <is>
          <t>Non</t>
        </is>
      </c>
      <c r="L53" t="inlineStr"/>
    </row>
    <row r="54">
      <c r="C54" s="6" t="n">
        <v>0</v>
      </c>
      <c r="D54" s="6" t="n">
        <v>0</v>
      </c>
      <c r="E54" s="7">
        <f>SOMME($D$2:D54)-SOMME($C$2:C54)</f>
        <v/>
      </c>
      <c r="F54" s="3">
        <f>SI(E54&lt;=0;"⚠ SOLDE ÉPUISÉ — faire verser 500 €";"")</f>
        <v/>
      </c>
      <c r="G54" t="inlineStr">
        <is>
          <t>Non</t>
        </is>
      </c>
      <c r="H54" s="3">
        <f>SI(C54&gt;500;"⚠ Facture &gt; 500 € — à relancer";"")</f>
        <v/>
      </c>
      <c r="I54" s="2">
        <f>SOMME($C$2:$C$120)-SOMME.SI($C$2:$C$120;$G$2:$G$120;"Oui")</f>
        <v/>
      </c>
      <c r="J54" s="3">
        <f>SI(I54&gt;500;"⚠ ENVOYER MESSAGE PAIEMENT";"")</f>
        <v/>
      </c>
      <c r="K54" t="inlineStr">
        <is>
          <t>Non</t>
        </is>
      </c>
      <c r="L54" t="inlineStr"/>
    </row>
    <row r="55">
      <c r="C55" s="6" t="n">
        <v>0</v>
      </c>
      <c r="D55" s="6" t="n">
        <v>0</v>
      </c>
      <c r="E55" s="7">
        <f>SOMME($D$2:D55)-SOMME($C$2:C55)</f>
        <v/>
      </c>
      <c r="F55" s="3">
        <f>SI(E55&lt;=0;"⚠ SOLDE ÉPUISÉ — faire verser 500 €";"")</f>
        <v/>
      </c>
      <c r="G55" t="inlineStr">
        <is>
          <t>Non</t>
        </is>
      </c>
      <c r="H55" s="3">
        <f>SI(C55&gt;500;"⚠ Facture &gt; 500 € — à relancer";"")</f>
        <v/>
      </c>
      <c r="I55" s="2">
        <f>SOMME($C$2:$C$120)-SOMME.SI($C$2:$C$120;$G$2:$G$120;"Oui")</f>
        <v/>
      </c>
      <c r="J55" s="3">
        <f>SI(I55&gt;500;"⚠ ENVOYER MESSAGE PAIEMENT";"")</f>
        <v/>
      </c>
      <c r="K55" t="inlineStr">
        <is>
          <t>Non</t>
        </is>
      </c>
      <c r="L55" t="inlineStr"/>
    </row>
    <row r="56">
      <c r="C56" s="6" t="n">
        <v>0</v>
      </c>
      <c r="D56" s="6" t="n">
        <v>0</v>
      </c>
      <c r="E56" s="7">
        <f>SOMME($D$2:D56)-SOMME($C$2:C56)</f>
        <v/>
      </c>
      <c r="F56" s="3">
        <f>SI(E56&lt;=0;"⚠ SOLDE ÉPUISÉ — faire verser 500 €";"")</f>
        <v/>
      </c>
      <c r="G56" t="inlineStr">
        <is>
          <t>Non</t>
        </is>
      </c>
      <c r="H56" s="3">
        <f>SI(C56&gt;500;"⚠ Facture &gt; 500 € — à relancer";"")</f>
        <v/>
      </c>
      <c r="I56" s="2">
        <f>SOMME($C$2:$C$120)-SOMME.SI($C$2:$C$120;$G$2:$G$120;"Oui")</f>
        <v/>
      </c>
      <c r="J56" s="3">
        <f>SI(I56&gt;500;"⚠ ENVOYER MESSAGE PAIEMENT";"")</f>
        <v/>
      </c>
      <c r="K56" t="inlineStr">
        <is>
          <t>Non</t>
        </is>
      </c>
      <c r="L56" t="inlineStr"/>
    </row>
    <row r="57">
      <c r="C57" s="6" t="n">
        <v>0</v>
      </c>
      <c r="D57" s="6" t="n">
        <v>0</v>
      </c>
      <c r="E57" s="7">
        <f>SOMME($D$2:D57)-SOMME($C$2:C57)</f>
        <v/>
      </c>
      <c r="F57" s="3">
        <f>SI(E57&lt;=0;"⚠ SOLDE ÉPUISÉ — faire verser 500 €";"")</f>
        <v/>
      </c>
      <c r="G57" t="inlineStr">
        <is>
          <t>Non</t>
        </is>
      </c>
      <c r="H57" s="3">
        <f>SI(C57&gt;500;"⚠ Facture &gt; 500 € — à relancer";"")</f>
        <v/>
      </c>
      <c r="I57" s="2">
        <f>SOMME($C$2:$C$120)-SOMME.SI($C$2:$C$120;$G$2:$G$120;"Oui")</f>
        <v/>
      </c>
      <c r="J57" s="3">
        <f>SI(I57&gt;500;"⚠ ENVOYER MESSAGE PAIEMENT";"")</f>
        <v/>
      </c>
      <c r="K57" t="inlineStr">
        <is>
          <t>Non</t>
        </is>
      </c>
      <c r="L57" t="inlineStr"/>
    </row>
    <row r="58">
      <c r="C58" s="6" t="n">
        <v>0</v>
      </c>
      <c r="D58" s="6" t="n">
        <v>0</v>
      </c>
      <c r="E58" s="7">
        <f>SOMME($D$2:D58)-SOMME($C$2:C58)</f>
        <v/>
      </c>
      <c r="F58" s="3">
        <f>SI(E58&lt;=0;"⚠ SOLDE ÉPUISÉ — faire verser 500 €";"")</f>
        <v/>
      </c>
      <c r="G58" t="inlineStr">
        <is>
          <t>Non</t>
        </is>
      </c>
      <c r="H58" s="3">
        <f>SI(C58&gt;500;"⚠ Facture &gt; 500 € — à relancer";"")</f>
        <v/>
      </c>
      <c r="I58" s="2">
        <f>SOMME($C$2:$C$120)-SOMME.SI($C$2:$C$120;$G$2:$G$120;"Oui")</f>
        <v/>
      </c>
      <c r="J58" s="3">
        <f>SI(I58&gt;500;"⚠ ENVOYER MESSAGE PAIEMENT";"")</f>
        <v/>
      </c>
      <c r="K58" t="inlineStr">
        <is>
          <t>Non</t>
        </is>
      </c>
      <c r="L58" t="inlineStr"/>
    </row>
    <row r="59">
      <c r="C59" s="6" t="n">
        <v>0</v>
      </c>
      <c r="D59" s="6" t="n">
        <v>0</v>
      </c>
      <c r="E59" s="7">
        <f>SOMME($D$2:D59)-SOMME($C$2:C59)</f>
        <v/>
      </c>
      <c r="F59" s="3">
        <f>SI(E59&lt;=0;"⚠ SOLDE ÉPUISÉ — faire verser 500 €";"")</f>
        <v/>
      </c>
      <c r="G59" t="inlineStr">
        <is>
          <t>Non</t>
        </is>
      </c>
      <c r="H59" s="3">
        <f>SI(C59&gt;500;"⚠ Facture &gt; 500 € — à relancer";"")</f>
        <v/>
      </c>
      <c r="I59" s="2">
        <f>SOMME($C$2:$C$120)-SOMME.SI($C$2:$C$120;$G$2:$G$120;"Oui")</f>
        <v/>
      </c>
      <c r="J59" s="3">
        <f>SI(I59&gt;500;"⚠ ENVOYER MESSAGE PAIEMENT";"")</f>
        <v/>
      </c>
      <c r="K59" t="inlineStr">
        <is>
          <t>Non</t>
        </is>
      </c>
      <c r="L59" t="inlineStr"/>
    </row>
    <row r="60">
      <c r="C60" s="6" t="n">
        <v>0</v>
      </c>
      <c r="D60" s="6" t="n">
        <v>0</v>
      </c>
      <c r="E60" s="7">
        <f>SOMME($D$2:D60)-SOMME($C$2:C60)</f>
        <v/>
      </c>
      <c r="F60" s="3">
        <f>SI(E60&lt;=0;"⚠ SOLDE ÉPUISÉ — faire verser 500 €";"")</f>
        <v/>
      </c>
      <c r="G60" t="inlineStr">
        <is>
          <t>Non</t>
        </is>
      </c>
      <c r="H60" s="3">
        <f>SI(C60&gt;500;"⚠ Facture &gt; 500 € — à relancer";"")</f>
        <v/>
      </c>
      <c r="I60" s="2">
        <f>SOMME($C$2:$C$120)-SOMME.SI($C$2:$C$120;$G$2:$G$120;"Oui")</f>
        <v/>
      </c>
      <c r="J60" s="3">
        <f>SI(I60&gt;500;"⚠ ENVOYER MESSAGE PAIEMENT";"")</f>
        <v/>
      </c>
      <c r="K60" t="inlineStr">
        <is>
          <t>Non</t>
        </is>
      </c>
      <c r="L60" t="inlineStr"/>
    </row>
    <row r="61">
      <c r="C61" s="6" t="n">
        <v>0</v>
      </c>
      <c r="D61" s="6" t="n">
        <v>0</v>
      </c>
      <c r="E61" s="7">
        <f>SOMME($D$2:D61)-SOMME($C$2:C61)</f>
        <v/>
      </c>
      <c r="F61" s="3">
        <f>SI(E61&lt;=0;"⚠ SOLDE ÉPUISÉ — faire verser 500 €";"")</f>
        <v/>
      </c>
      <c r="G61" t="inlineStr">
        <is>
          <t>Non</t>
        </is>
      </c>
      <c r="H61" s="3">
        <f>SI(C61&gt;500;"⚠ Facture &gt; 500 € — à relancer";"")</f>
        <v/>
      </c>
      <c r="I61" s="2">
        <f>SOMME($C$2:$C$120)-SOMME.SI($C$2:$C$120;$G$2:$G$120;"Oui")</f>
        <v/>
      </c>
      <c r="J61" s="3">
        <f>SI(I61&gt;500;"⚠ ENVOYER MESSAGE PAIEMENT";"")</f>
        <v/>
      </c>
      <c r="K61" t="inlineStr">
        <is>
          <t>Non</t>
        </is>
      </c>
      <c r="L61" t="inlineStr"/>
    </row>
    <row r="62">
      <c r="C62" s="6" t="n">
        <v>0</v>
      </c>
      <c r="D62" s="6" t="n">
        <v>0</v>
      </c>
      <c r="E62" s="7">
        <f>SOMME($D$2:D62)-SOMME($C$2:C62)</f>
        <v/>
      </c>
      <c r="F62" s="3">
        <f>SI(E62&lt;=0;"⚠ SOLDE ÉPUISÉ — faire verser 500 €";"")</f>
        <v/>
      </c>
      <c r="G62" t="inlineStr">
        <is>
          <t>Non</t>
        </is>
      </c>
      <c r="H62" s="3">
        <f>SI(C62&gt;500;"⚠ Facture &gt; 500 € — à relancer";"")</f>
        <v/>
      </c>
      <c r="I62" s="2">
        <f>SOMME($C$2:$C$120)-SOMME.SI($C$2:$C$120;$G$2:$G$120;"Oui")</f>
        <v/>
      </c>
      <c r="J62" s="3">
        <f>SI(I62&gt;500;"⚠ ENVOYER MESSAGE PAIEMENT";"")</f>
        <v/>
      </c>
      <c r="K62" t="inlineStr">
        <is>
          <t>Non</t>
        </is>
      </c>
      <c r="L62" t="inlineStr"/>
    </row>
    <row r="63">
      <c r="C63" s="6" t="n">
        <v>0</v>
      </c>
      <c r="D63" s="6" t="n">
        <v>0</v>
      </c>
      <c r="E63" s="7">
        <f>SOMME($D$2:D63)-SOMME($C$2:C63)</f>
        <v/>
      </c>
      <c r="F63" s="3">
        <f>SI(E63&lt;=0;"⚠ SOLDE ÉPUISÉ — faire verser 500 €";"")</f>
        <v/>
      </c>
      <c r="G63" t="inlineStr">
        <is>
          <t>Non</t>
        </is>
      </c>
      <c r="H63" s="3">
        <f>SI(C63&gt;500;"⚠ Facture &gt; 500 € — à relancer";"")</f>
        <v/>
      </c>
      <c r="I63" s="2">
        <f>SOMME($C$2:$C$120)-SOMME.SI($C$2:$C$120;$G$2:$G$120;"Oui")</f>
        <v/>
      </c>
      <c r="J63" s="3">
        <f>SI(I63&gt;500;"⚠ ENVOYER MESSAGE PAIEMENT";"")</f>
        <v/>
      </c>
      <c r="K63" t="inlineStr">
        <is>
          <t>Non</t>
        </is>
      </c>
      <c r="L63" t="inlineStr"/>
    </row>
    <row r="64">
      <c r="C64" s="6" t="n">
        <v>0</v>
      </c>
      <c r="D64" s="6" t="n">
        <v>0</v>
      </c>
      <c r="E64" s="7">
        <f>SOMME($D$2:D64)-SOMME($C$2:C64)</f>
        <v/>
      </c>
      <c r="F64" s="3">
        <f>SI(E64&lt;=0;"⚠ SOLDE ÉPUISÉ — faire verser 500 €";"")</f>
        <v/>
      </c>
      <c r="G64" t="inlineStr">
        <is>
          <t>Non</t>
        </is>
      </c>
      <c r="H64" s="3">
        <f>SI(C64&gt;500;"⚠ Facture &gt; 500 € — à relancer";"")</f>
        <v/>
      </c>
      <c r="I64" s="2">
        <f>SOMME($C$2:$C$120)-SOMME.SI($C$2:$C$120;$G$2:$G$120;"Oui")</f>
        <v/>
      </c>
      <c r="J64" s="3">
        <f>SI(I64&gt;500;"⚠ ENVOYER MESSAGE PAIEMENT";"")</f>
        <v/>
      </c>
      <c r="K64" t="inlineStr">
        <is>
          <t>Non</t>
        </is>
      </c>
      <c r="L64" t="inlineStr"/>
    </row>
    <row r="65">
      <c r="C65" s="6" t="n">
        <v>0</v>
      </c>
      <c r="D65" s="6" t="n">
        <v>0</v>
      </c>
      <c r="E65" s="7">
        <f>SOMME($D$2:D65)-SOMME($C$2:C65)</f>
        <v/>
      </c>
      <c r="F65" s="3">
        <f>SI(E65&lt;=0;"⚠ SOLDE ÉPUISÉ — faire verser 500 €";"")</f>
        <v/>
      </c>
      <c r="G65" t="inlineStr">
        <is>
          <t>Non</t>
        </is>
      </c>
      <c r="H65" s="3">
        <f>SI(C65&gt;500;"⚠ Facture &gt; 500 € — à relancer";"")</f>
        <v/>
      </c>
      <c r="I65" s="2">
        <f>SOMME($C$2:$C$120)-SOMME.SI($C$2:$C$120;$G$2:$G$120;"Oui")</f>
        <v/>
      </c>
      <c r="J65" s="3">
        <f>SI(I65&gt;500;"⚠ ENVOYER MESSAGE PAIEMENT";"")</f>
        <v/>
      </c>
      <c r="K65" t="inlineStr">
        <is>
          <t>Non</t>
        </is>
      </c>
      <c r="L65" t="inlineStr"/>
    </row>
    <row r="66">
      <c r="C66" s="6" t="n">
        <v>0</v>
      </c>
      <c r="D66" s="6" t="n">
        <v>0</v>
      </c>
      <c r="E66" s="7">
        <f>SOMME($D$2:D66)-SOMME($C$2:C66)</f>
        <v/>
      </c>
      <c r="F66" s="3">
        <f>SI(E66&lt;=0;"⚠ SOLDE ÉPUISÉ — faire verser 500 €";"")</f>
        <v/>
      </c>
      <c r="G66" t="inlineStr">
        <is>
          <t>Non</t>
        </is>
      </c>
      <c r="H66" s="3">
        <f>SI(C66&gt;500;"⚠ Facture &gt; 500 € — à relancer";"")</f>
        <v/>
      </c>
      <c r="I66" s="2">
        <f>SOMME($C$2:$C$120)-SOMME.SI($C$2:$C$120;$G$2:$G$120;"Oui")</f>
        <v/>
      </c>
      <c r="J66" s="3">
        <f>SI(I66&gt;500;"⚠ ENVOYER MESSAGE PAIEMENT";"")</f>
        <v/>
      </c>
      <c r="K66" t="inlineStr">
        <is>
          <t>Non</t>
        </is>
      </c>
      <c r="L66" t="inlineStr"/>
    </row>
    <row r="67">
      <c r="C67" s="6" t="n">
        <v>0</v>
      </c>
      <c r="D67" s="6" t="n">
        <v>0</v>
      </c>
      <c r="E67" s="7">
        <f>SOMME($D$2:D67)-SOMME($C$2:C67)</f>
        <v/>
      </c>
      <c r="F67" s="3">
        <f>SI(E67&lt;=0;"⚠ SOLDE ÉPUISÉ — faire verser 500 €";"")</f>
        <v/>
      </c>
      <c r="G67" t="inlineStr">
        <is>
          <t>Non</t>
        </is>
      </c>
      <c r="H67" s="3">
        <f>SI(C67&gt;500;"⚠ Facture &gt; 500 € — à relancer";"")</f>
        <v/>
      </c>
      <c r="I67" s="2">
        <f>SOMME($C$2:$C$120)-SOMME.SI($C$2:$C$120;$G$2:$G$120;"Oui")</f>
        <v/>
      </c>
      <c r="J67" s="3">
        <f>SI(I67&gt;500;"⚠ ENVOYER MESSAGE PAIEMENT";"")</f>
        <v/>
      </c>
      <c r="K67" t="inlineStr">
        <is>
          <t>Non</t>
        </is>
      </c>
      <c r="L67" t="inlineStr"/>
    </row>
    <row r="68">
      <c r="C68" s="6" t="n">
        <v>0</v>
      </c>
      <c r="D68" s="6" t="n">
        <v>0</v>
      </c>
      <c r="E68" s="7">
        <f>SOMME($D$2:D68)-SOMME($C$2:C68)</f>
        <v/>
      </c>
      <c r="F68" s="3">
        <f>SI(E68&lt;=0;"⚠ SOLDE ÉPUISÉ — faire verser 500 €";"")</f>
        <v/>
      </c>
      <c r="G68" t="inlineStr">
        <is>
          <t>Non</t>
        </is>
      </c>
      <c r="H68" s="3">
        <f>SI(C68&gt;500;"⚠ Facture &gt; 500 € — à relancer";"")</f>
        <v/>
      </c>
      <c r="I68" s="2">
        <f>SOMME($C$2:$C$120)-SOMME.SI($C$2:$C$120;$G$2:$G$120;"Oui")</f>
        <v/>
      </c>
      <c r="J68" s="3">
        <f>SI(I68&gt;500;"⚠ ENVOYER MESSAGE PAIEMENT";"")</f>
        <v/>
      </c>
      <c r="K68" t="inlineStr">
        <is>
          <t>Non</t>
        </is>
      </c>
      <c r="L68" t="inlineStr"/>
    </row>
    <row r="69">
      <c r="C69" s="6" t="n">
        <v>0</v>
      </c>
      <c r="D69" s="6" t="n">
        <v>0</v>
      </c>
      <c r="E69" s="7">
        <f>SOMME($D$2:D69)-SOMME($C$2:C69)</f>
        <v/>
      </c>
      <c r="F69" s="3">
        <f>SI(E69&lt;=0;"⚠ SOLDE ÉPUISÉ — faire verser 500 €";"")</f>
        <v/>
      </c>
      <c r="G69" t="inlineStr">
        <is>
          <t>Non</t>
        </is>
      </c>
      <c r="H69" s="3">
        <f>SI(C69&gt;500;"⚠ Facture &gt; 500 € — à relancer";"")</f>
        <v/>
      </c>
      <c r="I69" s="2">
        <f>SOMME($C$2:$C$120)-SOMME.SI($C$2:$C$120;$G$2:$G$120;"Oui")</f>
        <v/>
      </c>
      <c r="J69" s="3">
        <f>SI(I69&gt;500;"⚠ ENVOYER MESSAGE PAIEMENT";"")</f>
        <v/>
      </c>
      <c r="K69" t="inlineStr">
        <is>
          <t>Non</t>
        </is>
      </c>
      <c r="L69" t="inlineStr"/>
    </row>
    <row r="70">
      <c r="C70" s="6" t="n">
        <v>0</v>
      </c>
      <c r="D70" s="6" t="n">
        <v>0</v>
      </c>
      <c r="E70" s="7">
        <f>SOMME($D$2:D70)-SOMME($C$2:C70)</f>
        <v/>
      </c>
      <c r="F70" s="3">
        <f>SI(E70&lt;=0;"⚠ SOLDE ÉPUISÉ — faire verser 500 €";"")</f>
        <v/>
      </c>
      <c r="G70" t="inlineStr">
        <is>
          <t>Non</t>
        </is>
      </c>
      <c r="H70" s="3">
        <f>SI(C70&gt;500;"⚠ Facture &gt; 500 € — à relancer";"")</f>
        <v/>
      </c>
      <c r="I70" s="2">
        <f>SOMME($C$2:$C$120)-SOMME.SI($C$2:$C$120;$G$2:$G$120;"Oui")</f>
        <v/>
      </c>
      <c r="J70" s="3">
        <f>SI(I70&gt;500;"⚠ ENVOYER MESSAGE PAIEMENT";"")</f>
        <v/>
      </c>
      <c r="K70" t="inlineStr">
        <is>
          <t>Non</t>
        </is>
      </c>
      <c r="L70" t="inlineStr"/>
    </row>
    <row r="71">
      <c r="C71" s="6" t="n">
        <v>0</v>
      </c>
      <c r="D71" s="6" t="n">
        <v>0</v>
      </c>
      <c r="E71" s="7">
        <f>SOMME($D$2:D71)-SOMME($C$2:C71)</f>
        <v/>
      </c>
      <c r="F71" s="3">
        <f>SI(E71&lt;=0;"⚠ SOLDE ÉPUISÉ — faire verser 500 €";"")</f>
        <v/>
      </c>
      <c r="G71" t="inlineStr">
        <is>
          <t>Non</t>
        </is>
      </c>
      <c r="H71" s="3">
        <f>SI(C71&gt;500;"⚠ Facture &gt; 500 € — à relancer";"")</f>
        <v/>
      </c>
      <c r="I71" s="2">
        <f>SOMME($C$2:$C$120)-SOMME.SI($C$2:$C$120;$G$2:$G$120;"Oui")</f>
        <v/>
      </c>
      <c r="J71" s="3">
        <f>SI(I71&gt;500;"⚠ ENVOYER MESSAGE PAIEMENT";"")</f>
        <v/>
      </c>
      <c r="K71" t="inlineStr">
        <is>
          <t>Non</t>
        </is>
      </c>
      <c r="L71" t="inlineStr"/>
    </row>
    <row r="72">
      <c r="C72" s="6" t="n">
        <v>0</v>
      </c>
      <c r="D72" s="6" t="n">
        <v>0</v>
      </c>
      <c r="E72" s="7">
        <f>SOMME($D$2:D72)-SOMME($C$2:C72)</f>
        <v/>
      </c>
      <c r="F72" s="3">
        <f>SI(E72&lt;=0;"⚠ SOLDE ÉPUISÉ — faire verser 500 €";"")</f>
        <v/>
      </c>
      <c r="G72" t="inlineStr">
        <is>
          <t>Non</t>
        </is>
      </c>
      <c r="H72" s="3">
        <f>SI(C72&gt;500;"⚠ Facture &gt; 500 € — à relancer";"")</f>
        <v/>
      </c>
      <c r="I72" s="2">
        <f>SOMME($C$2:$C$120)-SOMME.SI($C$2:$C$120;$G$2:$G$120;"Oui")</f>
        <v/>
      </c>
      <c r="J72" s="3">
        <f>SI(I72&gt;500;"⚠ ENVOYER MESSAGE PAIEMENT";"")</f>
        <v/>
      </c>
      <c r="K72" t="inlineStr">
        <is>
          <t>Non</t>
        </is>
      </c>
      <c r="L72" t="inlineStr"/>
    </row>
    <row r="73">
      <c r="C73" s="6" t="n">
        <v>0</v>
      </c>
      <c r="D73" s="6" t="n">
        <v>0</v>
      </c>
      <c r="E73" s="7">
        <f>SOMME($D$2:D73)-SOMME($C$2:C73)</f>
        <v/>
      </c>
      <c r="F73" s="3">
        <f>SI(E73&lt;=0;"⚠ SOLDE ÉPUISÉ — faire verser 500 €";"")</f>
        <v/>
      </c>
      <c r="G73" t="inlineStr">
        <is>
          <t>Non</t>
        </is>
      </c>
      <c r="H73" s="3">
        <f>SI(C73&gt;500;"⚠ Facture &gt; 500 € — à relancer";"")</f>
        <v/>
      </c>
      <c r="I73" s="2">
        <f>SOMME($C$2:$C$120)-SOMME.SI($C$2:$C$120;$G$2:$G$120;"Oui")</f>
        <v/>
      </c>
      <c r="J73" s="3">
        <f>SI(I73&gt;500;"⚠ ENVOYER MESSAGE PAIEMENT";"")</f>
        <v/>
      </c>
      <c r="K73" t="inlineStr">
        <is>
          <t>Non</t>
        </is>
      </c>
      <c r="L73" t="inlineStr"/>
    </row>
    <row r="74">
      <c r="C74" s="6" t="n">
        <v>0</v>
      </c>
      <c r="D74" s="6" t="n">
        <v>0</v>
      </c>
      <c r="E74" s="7">
        <f>SOMME($D$2:D74)-SOMME($C$2:C74)</f>
        <v/>
      </c>
      <c r="F74" s="3">
        <f>SI(E74&lt;=0;"⚠ SOLDE ÉPUISÉ — faire verser 500 €";"")</f>
        <v/>
      </c>
      <c r="G74" t="inlineStr">
        <is>
          <t>Non</t>
        </is>
      </c>
      <c r="H74" s="3">
        <f>SI(C74&gt;500;"⚠ Facture &gt; 500 € — à relancer";"")</f>
        <v/>
      </c>
      <c r="I74" s="2">
        <f>SOMME($C$2:$C$120)-SOMME.SI($C$2:$C$120;$G$2:$G$120;"Oui")</f>
        <v/>
      </c>
      <c r="J74" s="3">
        <f>SI(I74&gt;500;"⚠ ENVOYER MESSAGE PAIEMENT";"")</f>
        <v/>
      </c>
      <c r="K74" t="inlineStr">
        <is>
          <t>Non</t>
        </is>
      </c>
      <c r="L74" t="inlineStr"/>
    </row>
    <row r="75">
      <c r="C75" s="6" t="n">
        <v>0</v>
      </c>
      <c r="D75" s="6" t="n">
        <v>0</v>
      </c>
      <c r="E75" s="7">
        <f>SOMME($D$2:D75)-SOMME($C$2:C75)</f>
        <v/>
      </c>
      <c r="F75" s="3">
        <f>SI(E75&lt;=0;"⚠ SOLDE ÉPUISÉ — faire verser 500 €";"")</f>
        <v/>
      </c>
      <c r="G75" t="inlineStr">
        <is>
          <t>Non</t>
        </is>
      </c>
      <c r="H75" s="3">
        <f>SI(C75&gt;500;"⚠ Facture &gt; 500 € — à relancer";"")</f>
        <v/>
      </c>
      <c r="I75" s="2">
        <f>SOMME($C$2:$C$120)-SOMME.SI($C$2:$C$120;$G$2:$G$120;"Oui")</f>
        <v/>
      </c>
      <c r="J75" s="3">
        <f>SI(I75&gt;500;"⚠ ENVOYER MESSAGE PAIEMENT";"")</f>
        <v/>
      </c>
      <c r="K75" t="inlineStr">
        <is>
          <t>Non</t>
        </is>
      </c>
      <c r="L75" t="inlineStr"/>
    </row>
    <row r="76">
      <c r="C76" s="6" t="n">
        <v>0</v>
      </c>
      <c r="D76" s="6" t="n">
        <v>0</v>
      </c>
      <c r="E76" s="7">
        <f>SOMME($D$2:D76)-SOMME($C$2:C76)</f>
        <v/>
      </c>
      <c r="F76" s="3">
        <f>SI(E76&lt;=0;"⚠ SOLDE ÉPUISÉ — faire verser 500 €";"")</f>
        <v/>
      </c>
      <c r="G76" t="inlineStr">
        <is>
          <t>Non</t>
        </is>
      </c>
      <c r="H76" s="3">
        <f>SI(C76&gt;500;"⚠ Facture &gt; 500 € — à relancer";"")</f>
        <v/>
      </c>
      <c r="I76" s="2">
        <f>SOMME($C$2:$C$120)-SOMME.SI($C$2:$C$120;$G$2:$G$120;"Oui")</f>
        <v/>
      </c>
      <c r="J76" s="3">
        <f>SI(I76&gt;500;"⚠ ENVOYER MESSAGE PAIEMENT";"")</f>
        <v/>
      </c>
      <c r="K76" t="inlineStr">
        <is>
          <t>Non</t>
        </is>
      </c>
      <c r="L76" t="inlineStr"/>
    </row>
    <row r="77">
      <c r="C77" s="6" t="n">
        <v>0</v>
      </c>
      <c r="D77" s="6" t="n">
        <v>0</v>
      </c>
      <c r="E77" s="7">
        <f>SOMME($D$2:D77)-SOMME($C$2:C77)</f>
        <v/>
      </c>
      <c r="F77" s="3">
        <f>SI(E77&lt;=0;"⚠ SOLDE ÉPUISÉ — faire verser 500 €";"")</f>
        <v/>
      </c>
      <c r="G77" t="inlineStr">
        <is>
          <t>Non</t>
        </is>
      </c>
      <c r="H77" s="3">
        <f>SI(C77&gt;500;"⚠ Facture &gt; 500 € — à relancer";"")</f>
        <v/>
      </c>
      <c r="I77" s="2">
        <f>SOMME($C$2:$C$120)-SOMME.SI($C$2:$C$120;$G$2:$G$120;"Oui")</f>
        <v/>
      </c>
      <c r="J77" s="3">
        <f>SI(I77&gt;500;"⚠ ENVOYER MESSAGE PAIEMENT";"")</f>
        <v/>
      </c>
      <c r="K77" t="inlineStr">
        <is>
          <t>Non</t>
        </is>
      </c>
      <c r="L77" t="inlineStr"/>
    </row>
    <row r="78">
      <c r="C78" s="6" t="n">
        <v>0</v>
      </c>
      <c r="D78" s="6" t="n">
        <v>0</v>
      </c>
      <c r="E78" s="7">
        <f>SOMME($D$2:D78)-SOMME($C$2:C78)</f>
        <v/>
      </c>
      <c r="F78" s="3">
        <f>SI(E78&lt;=0;"⚠ SOLDE ÉPUISÉ — faire verser 500 €";"")</f>
        <v/>
      </c>
      <c r="G78" t="inlineStr">
        <is>
          <t>Non</t>
        </is>
      </c>
      <c r="H78" s="3">
        <f>SI(C78&gt;500;"⚠ Facture &gt; 500 € — à relancer";"")</f>
        <v/>
      </c>
      <c r="I78" s="2">
        <f>SOMME($C$2:$C$120)-SOMME.SI($C$2:$C$120;$G$2:$G$120;"Oui")</f>
        <v/>
      </c>
      <c r="J78" s="3">
        <f>SI(I78&gt;500;"⚠ ENVOYER MESSAGE PAIEMENT";"")</f>
        <v/>
      </c>
      <c r="K78" t="inlineStr">
        <is>
          <t>Non</t>
        </is>
      </c>
      <c r="L78" t="inlineStr"/>
    </row>
    <row r="79">
      <c r="C79" s="6" t="n">
        <v>0</v>
      </c>
      <c r="D79" s="6" t="n">
        <v>0</v>
      </c>
      <c r="E79" s="7">
        <f>SOMME($D$2:D79)-SOMME($C$2:C79)</f>
        <v/>
      </c>
      <c r="F79" s="3">
        <f>SI(E79&lt;=0;"⚠ SOLDE ÉPUISÉ — faire verser 500 €";"")</f>
        <v/>
      </c>
      <c r="G79" t="inlineStr">
        <is>
          <t>Non</t>
        </is>
      </c>
      <c r="H79" s="3">
        <f>SI(C79&gt;500;"⚠ Facture &gt; 500 € — à relancer";"")</f>
        <v/>
      </c>
      <c r="I79" s="2">
        <f>SOMME($C$2:$C$120)-SOMME.SI($C$2:$C$120;$G$2:$G$120;"Oui")</f>
        <v/>
      </c>
      <c r="J79" s="3">
        <f>SI(I79&gt;500;"⚠ ENVOYER MESSAGE PAIEMENT";"")</f>
        <v/>
      </c>
      <c r="K79" t="inlineStr">
        <is>
          <t>Non</t>
        </is>
      </c>
      <c r="L79" t="inlineStr"/>
    </row>
    <row r="80">
      <c r="C80" s="6" t="n">
        <v>0</v>
      </c>
      <c r="D80" s="6" t="n">
        <v>0</v>
      </c>
      <c r="E80" s="7">
        <f>SOMME($D$2:D80)-SOMME($C$2:C80)</f>
        <v/>
      </c>
      <c r="F80" s="3">
        <f>SI(E80&lt;=0;"⚠ SOLDE ÉPUISÉ — faire verser 500 €";"")</f>
        <v/>
      </c>
      <c r="G80" t="inlineStr">
        <is>
          <t>Non</t>
        </is>
      </c>
      <c r="H80" s="3">
        <f>SI(C80&gt;500;"⚠ Facture &gt; 500 € — à relancer";"")</f>
        <v/>
      </c>
      <c r="I80" s="2">
        <f>SOMME($C$2:$C$120)-SOMME.SI($C$2:$C$120;$G$2:$G$120;"Oui")</f>
        <v/>
      </c>
      <c r="J80" s="3">
        <f>SI(I80&gt;500;"⚠ ENVOYER MESSAGE PAIEMENT";"")</f>
        <v/>
      </c>
      <c r="K80" t="inlineStr">
        <is>
          <t>Non</t>
        </is>
      </c>
      <c r="L80" t="inlineStr"/>
    </row>
    <row r="81">
      <c r="C81" s="6" t="n">
        <v>0</v>
      </c>
      <c r="D81" s="6" t="n">
        <v>0</v>
      </c>
      <c r="E81" s="7">
        <f>SOMME($D$2:D81)-SOMME($C$2:C81)</f>
        <v/>
      </c>
      <c r="F81" s="3">
        <f>SI(E81&lt;=0;"⚠ SOLDE ÉPUISÉ — faire verser 500 €";"")</f>
        <v/>
      </c>
      <c r="G81" t="inlineStr">
        <is>
          <t>Non</t>
        </is>
      </c>
      <c r="H81" s="3">
        <f>SI(C81&gt;500;"⚠ Facture &gt; 500 € — à relancer";"")</f>
        <v/>
      </c>
      <c r="I81" s="2">
        <f>SOMME($C$2:$C$120)-SOMME.SI($C$2:$C$120;$G$2:$G$120;"Oui")</f>
        <v/>
      </c>
      <c r="J81" s="3">
        <f>SI(I81&gt;500;"⚠ ENVOYER MESSAGE PAIEMENT";"")</f>
        <v/>
      </c>
      <c r="K81" t="inlineStr">
        <is>
          <t>Non</t>
        </is>
      </c>
      <c r="L81" t="inlineStr"/>
    </row>
    <row r="82">
      <c r="C82" s="6" t="n">
        <v>0</v>
      </c>
      <c r="D82" s="6" t="n">
        <v>0</v>
      </c>
      <c r="E82" s="7">
        <f>SOMME($D$2:D82)-SOMME($C$2:C82)</f>
        <v/>
      </c>
      <c r="F82" s="3">
        <f>SI(E82&lt;=0;"⚠ SOLDE ÉPUISÉ — faire verser 500 €";"")</f>
        <v/>
      </c>
      <c r="G82" t="inlineStr">
        <is>
          <t>Non</t>
        </is>
      </c>
      <c r="H82" s="3">
        <f>SI(C82&gt;500;"⚠ Facture &gt; 500 € — à relancer";"")</f>
        <v/>
      </c>
      <c r="I82" s="2">
        <f>SOMME($C$2:$C$120)-SOMME.SI($C$2:$C$120;$G$2:$G$120;"Oui")</f>
        <v/>
      </c>
      <c r="J82" s="3">
        <f>SI(I82&gt;500;"⚠ ENVOYER MESSAGE PAIEMENT";"")</f>
        <v/>
      </c>
      <c r="K82" t="inlineStr">
        <is>
          <t>Non</t>
        </is>
      </c>
      <c r="L82" t="inlineStr"/>
    </row>
    <row r="83">
      <c r="C83" s="6" t="n">
        <v>0</v>
      </c>
      <c r="D83" s="6" t="n">
        <v>0</v>
      </c>
      <c r="E83" s="7">
        <f>SOMME($D$2:D83)-SOMME($C$2:C83)</f>
        <v/>
      </c>
      <c r="F83" s="3">
        <f>SI(E83&lt;=0;"⚠ SOLDE ÉPUISÉ — faire verser 500 €";"")</f>
        <v/>
      </c>
      <c r="G83" t="inlineStr">
        <is>
          <t>Non</t>
        </is>
      </c>
      <c r="H83" s="3">
        <f>SI(C83&gt;500;"⚠ Facture &gt; 500 € — à relancer";"")</f>
        <v/>
      </c>
      <c r="I83" s="2">
        <f>SOMME($C$2:$C$120)-SOMME.SI($C$2:$C$120;$G$2:$G$120;"Oui")</f>
        <v/>
      </c>
      <c r="J83" s="3">
        <f>SI(I83&gt;500;"⚠ ENVOYER MESSAGE PAIEMENT";"")</f>
        <v/>
      </c>
      <c r="K83" t="inlineStr">
        <is>
          <t>Non</t>
        </is>
      </c>
      <c r="L83" t="inlineStr"/>
    </row>
    <row r="84">
      <c r="C84" s="6" t="n">
        <v>0</v>
      </c>
      <c r="D84" s="6" t="n">
        <v>0</v>
      </c>
      <c r="E84" s="7">
        <f>SOMME($D$2:D84)-SOMME($C$2:C84)</f>
        <v/>
      </c>
      <c r="F84" s="3">
        <f>SI(E84&lt;=0;"⚠ SOLDE ÉPUISÉ — faire verser 500 €";"")</f>
        <v/>
      </c>
      <c r="G84" t="inlineStr">
        <is>
          <t>Non</t>
        </is>
      </c>
      <c r="H84" s="3">
        <f>SI(C84&gt;500;"⚠ Facture &gt; 500 € — à relancer";"")</f>
        <v/>
      </c>
      <c r="I84" s="2">
        <f>SOMME($C$2:$C$120)-SOMME.SI($C$2:$C$120;$G$2:$G$120;"Oui")</f>
        <v/>
      </c>
      <c r="J84" s="3">
        <f>SI(I84&gt;500;"⚠ ENVOYER MESSAGE PAIEMENT";"")</f>
        <v/>
      </c>
      <c r="K84" t="inlineStr">
        <is>
          <t>Non</t>
        </is>
      </c>
      <c r="L84" t="inlineStr"/>
    </row>
    <row r="85">
      <c r="C85" s="6" t="n">
        <v>0</v>
      </c>
      <c r="D85" s="6" t="n">
        <v>0</v>
      </c>
      <c r="E85" s="7">
        <f>SOMME($D$2:D85)-SOMME($C$2:C85)</f>
        <v/>
      </c>
      <c r="F85" s="3">
        <f>SI(E85&lt;=0;"⚠ SOLDE ÉPUISÉ — faire verser 500 €";"")</f>
        <v/>
      </c>
      <c r="G85" t="inlineStr">
        <is>
          <t>Non</t>
        </is>
      </c>
      <c r="H85" s="3">
        <f>SI(C85&gt;500;"⚠ Facture &gt; 500 € — à relancer";"")</f>
        <v/>
      </c>
      <c r="I85" s="2">
        <f>SOMME($C$2:$C$120)-SOMME.SI($C$2:$C$120;$G$2:$G$120;"Oui")</f>
        <v/>
      </c>
      <c r="J85" s="3">
        <f>SI(I85&gt;500;"⚠ ENVOYER MESSAGE PAIEMENT";"")</f>
        <v/>
      </c>
      <c r="K85" t="inlineStr">
        <is>
          <t>Non</t>
        </is>
      </c>
      <c r="L85" t="inlineStr"/>
    </row>
    <row r="86">
      <c r="C86" s="6" t="n">
        <v>0</v>
      </c>
      <c r="D86" s="6" t="n">
        <v>0</v>
      </c>
      <c r="E86" s="7">
        <f>SOMME($D$2:D86)-SOMME($C$2:C86)</f>
        <v/>
      </c>
      <c r="F86" s="3">
        <f>SI(E86&lt;=0;"⚠ SOLDE ÉPUISÉ — faire verser 500 €";"")</f>
        <v/>
      </c>
      <c r="G86" t="inlineStr">
        <is>
          <t>Non</t>
        </is>
      </c>
      <c r="H86" s="3">
        <f>SI(C86&gt;500;"⚠ Facture &gt; 500 € — à relancer";"")</f>
        <v/>
      </c>
      <c r="I86" s="2">
        <f>SOMME($C$2:$C$120)-SOMME.SI($C$2:$C$120;$G$2:$G$120;"Oui")</f>
        <v/>
      </c>
      <c r="J86" s="3">
        <f>SI(I86&gt;500;"⚠ ENVOYER MESSAGE PAIEMENT";"")</f>
        <v/>
      </c>
      <c r="K86" t="inlineStr">
        <is>
          <t>Non</t>
        </is>
      </c>
      <c r="L86" t="inlineStr"/>
    </row>
    <row r="87">
      <c r="C87" s="6" t="n">
        <v>0</v>
      </c>
      <c r="D87" s="6" t="n">
        <v>0</v>
      </c>
      <c r="E87" s="7">
        <f>SOMME($D$2:D87)-SOMME($C$2:C87)</f>
        <v/>
      </c>
      <c r="F87" s="3">
        <f>SI(E87&lt;=0;"⚠ SOLDE ÉPUISÉ — faire verser 500 €";"")</f>
        <v/>
      </c>
      <c r="G87" t="inlineStr">
        <is>
          <t>Non</t>
        </is>
      </c>
      <c r="H87" s="3">
        <f>SI(C87&gt;500;"⚠ Facture &gt; 500 € — à relancer";"")</f>
        <v/>
      </c>
      <c r="I87" s="2">
        <f>SOMME($C$2:$C$120)-SOMME.SI($C$2:$C$120;$G$2:$G$120;"Oui")</f>
        <v/>
      </c>
      <c r="J87" s="3">
        <f>SI(I87&gt;500;"⚠ ENVOYER MESSAGE PAIEMENT";"")</f>
        <v/>
      </c>
      <c r="K87" t="inlineStr">
        <is>
          <t>Non</t>
        </is>
      </c>
      <c r="L87" t="inlineStr"/>
    </row>
    <row r="88">
      <c r="C88" s="6" t="n">
        <v>0</v>
      </c>
      <c r="D88" s="6" t="n">
        <v>0</v>
      </c>
      <c r="E88" s="7">
        <f>SOMME($D$2:D88)-SOMME($C$2:C88)</f>
        <v/>
      </c>
      <c r="F88" s="3">
        <f>SI(E88&lt;=0;"⚠ SOLDE ÉPUISÉ — faire verser 500 €";"")</f>
        <v/>
      </c>
      <c r="G88" t="inlineStr">
        <is>
          <t>Non</t>
        </is>
      </c>
      <c r="H88" s="3">
        <f>SI(C88&gt;500;"⚠ Facture &gt; 500 € — à relancer";"")</f>
        <v/>
      </c>
      <c r="I88" s="2">
        <f>SOMME($C$2:$C$120)-SOMME.SI($C$2:$C$120;$G$2:$G$120;"Oui")</f>
        <v/>
      </c>
      <c r="J88" s="3">
        <f>SI(I88&gt;500;"⚠ ENVOYER MESSAGE PAIEMENT";"")</f>
        <v/>
      </c>
      <c r="K88" t="inlineStr">
        <is>
          <t>Non</t>
        </is>
      </c>
      <c r="L88" t="inlineStr"/>
    </row>
    <row r="89">
      <c r="C89" s="6" t="n">
        <v>0</v>
      </c>
      <c r="D89" s="6" t="n">
        <v>0</v>
      </c>
      <c r="E89" s="7">
        <f>SOMME($D$2:D89)-SOMME($C$2:C89)</f>
        <v/>
      </c>
      <c r="F89" s="3">
        <f>SI(E89&lt;=0;"⚠ SOLDE ÉPUISÉ — faire verser 500 €";"")</f>
        <v/>
      </c>
      <c r="G89" t="inlineStr">
        <is>
          <t>Non</t>
        </is>
      </c>
      <c r="H89" s="3">
        <f>SI(C89&gt;500;"⚠ Facture &gt; 500 € — à relancer";"")</f>
        <v/>
      </c>
      <c r="I89" s="2">
        <f>SOMME($C$2:$C$120)-SOMME.SI($C$2:$C$120;$G$2:$G$120;"Oui")</f>
        <v/>
      </c>
      <c r="J89" s="3">
        <f>SI(I89&gt;500;"⚠ ENVOYER MESSAGE PAIEMENT";"")</f>
        <v/>
      </c>
      <c r="K89" t="inlineStr">
        <is>
          <t>Non</t>
        </is>
      </c>
      <c r="L89" t="inlineStr"/>
    </row>
    <row r="90">
      <c r="C90" s="6" t="n">
        <v>0</v>
      </c>
      <c r="D90" s="6" t="n">
        <v>0</v>
      </c>
      <c r="E90" s="7">
        <f>SOMME($D$2:D90)-SOMME($C$2:C90)</f>
        <v/>
      </c>
      <c r="F90" s="3">
        <f>SI(E90&lt;=0;"⚠ SOLDE ÉPUISÉ — faire verser 500 €";"")</f>
        <v/>
      </c>
      <c r="G90" t="inlineStr">
        <is>
          <t>Non</t>
        </is>
      </c>
      <c r="H90" s="3">
        <f>SI(C90&gt;500;"⚠ Facture &gt; 500 € — à relancer";"")</f>
        <v/>
      </c>
      <c r="I90" s="2">
        <f>SOMME($C$2:$C$120)-SOMME.SI($C$2:$C$120;$G$2:$G$120;"Oui")</f>
        <v/>
      </c>
      <c r="J90" s="3">
        <f>SI(I90&gt;500;"⚠ ENVOYER MESSAGE PAIEMENT";"")</f>
        <v/>
      </c>
      <c r="K90" t="inlineStr">
        <is>
          <t>Non</t>
        </is>
      </c>
      <c r="L90" t="inlineStr"/>
    </row>
    <row r="91">
      <c r="C91" s="6" t="n">
        <v>0</v>
      </c>
      <c r="D91" s="6" t="n">
        <v>0</v>
      </c>
      <c r="E91" s="7">
        <f>SOMME($D$2:D91)-SOMME($C$2:C91)</f>
        <v/>
      </c>
      <c r="F91" s="3">
        <f>SI(E91&lt;=0;"⚠ SOLDE ÉPUISÉ — faire verser 500 €";"")</f>
        <v/>
      </c>
      <c r="G91" t="inlineStr">
        <is>
          <t>Non</t>
        </is>
      </c>
      <c r="H91" s="3">
        <f>SI(C91&gt;500;"⚠ Facture &gt; 500 € — à relancer";"")</f>
        <v/>
      </c>
      <c r="I91" s="2">
        <f>SOMME($C$2:$C$120)-SOMME.SI($C$2:$C$120;$G$2:$G$120;"Oui")</f>
        <v/>
      </c>
      <c r="J91" s="3">
        <f>SI(I91&gt;500;"⚠ ENVOYER MESSAGE PAIEMENT";"")</f>
        <v/>
      </c>
      <c r="K91" t="inlineStr">
        <is>
          <t>Non</t>
        </is>
      </c>
      <c r="L91" t="inlineStr"/>
    </row>
    <row r="92">
      <c r="C92" s="6" t="n">
        <v>0</v>
      </c>
      <c r="D92" s="6" t="n">
        <v>0</v>
      </c>
      <c r="E92" s="7">
        <f>SOMME($D$2:D92)-SOMME($C$2:C92)</f>
        <v/>
      </c>
      <c r="F92" s="3">
        <f>SI(E92&lt;=0;"⚠ SOLDE ÉPUISÉ — faire verser 500 €";"")</f>
        <v/>
      </c>
      <c r="G92" t="inlineStr">
        <is>
          <t>Non</t>
        </is>
      </c>
      <c r="H92" s="3">
        <f>SI(C92&gt;500;"⚠ Facture &gt; 500 € — à relancer";"")</f>
        <v/>
      </c>
      <c r="I92" s="2">
        <f>SOMME($C$2:$C$120)-SOMME.SI($C$2:$C$120;$G$2:$G$120;"Oui")</f>
        <v/>
      </c>
      <c r="J92" s="3">
        <f>SI(I92&gt;500;"⚠ ENVOYER MESSAGE PAIEMENT";"")</f>
        <v/>
      </c>
      <c r="K92" t="inlineStr">
        <is>
          <t>Non</t>
        </is>
      </c>
      <c r="L92" t="inlineStr"/>
    </row>
    <row r="93">
      <c r="C93" s="6" t="n">
        <v>0</v>
      </c>
      <c r="D93" s="6" t="n">
        <v>0</v>
      </c>
      <c r="E93" s="7">
        <f>SOMME($D$2:D93)-SOMME($C$2:C93)</f>
        <v/>
      </c>
      <c r="F93" s="3">
        <f>SI(E93&lt;=0;"⚠ SOLDE ÉPUISÉ — faire verser 500 €";"")</f>
        <v/>
      </c>
      <c r="G93" t="inlineStr">
        <is>
          <t>Non</t>
        </is>
      </c>
      <c r="H93" s="3">
        <f>SI(C93&gt;500;"⚠ Facture &gt; 500 € — à relancer";"")</f>
        <v/>
      </c>
      <c r="I93" s="2">
        <f>SOMME($C$2:$C$120)-SOMME.SI($C$2:$C$120;$G$2:$G$120;"Oui")</f>
        <v/>
      </c>
      <c r="J93" s="3">
        <f>SI(I93&gt;500;"⚠ ENVOYER MESSAGE PAIEMENT";"")</f>
        <v/>
      </c>
      <c r="K93" t="inlineStr">
        <is>
          <t>Non</t>
        </is>
      </c>
      <c r="L93" t="inlineStr"/>
    </row>
    <row r="94">
      <c r="C94" s="6" t="n">
        <v>0</v>
      </c>
      <c r="D94" s="6" t="n">
        <v>0</v>
      </c>
      <c r="E94" s="7">
        <f>SOMME($D$2:D94)-SOMME($C$2:C94)</f>
        <v/>
      </c>
      <c r="F94" s="3">
        <f>SI(E94&lt;=0;"⚠ SOLDE ÉPUISÉ — faire verser 500 €";"")</f>
        <v/>
      </c>
      <c r="G94" t="inlineStr">
        <is>
          <t>Non</t>
        </is>
      </c>
      <c r="H94" s="3">
        <f>SI(C94&gt;500;"⚠ Facture &gt; 500 € — à relancer";"")</f>
        <v/>
      </c>
      <c r="I94" s="2">
        <f>SOMME($C$2:$C$120)-SOMME.SI($C$2:$C$120;$G$2:$G$120;"Oui")</f>
        <v/>
      </c>
      <c r="J94" s="3">
        <f>SI(I94&gt;500;"⚠ ENVOYER MESSAGE PAIEMENT";"")</f>
        <v/>
      </c>
      <c r="K94" t="inlineStr">
        <is>
          <t>Non</t>
        </is>
      </c>
      <c r="L94" t="inlineStr"/>
    </row>
    <row r="95">
      <c r="C95" s="6" t="n">
        <v>0</v>
      </c>
      <c r="D95" s="6" t="n">
        <v>0</v>
      </c>
      <c r="E95" s="7">
        <f>SOMME($D$2:D95)-SOMME($C$2:C95)</f>
        <v/>
      </c>
      <c r="F95" s="3">
        <f>SI(E95&lt;=0;"⚠ SOLDE ÉPUISÉ — faire verser 500 €";"")</f>
        <v/>
      </c>
      <c r="G95" t="inlineStr">
        <is>
          <t>Non</t>
        </is>
      </c>
      <c r="H95" s="3">
        <f>SI(C95&gt;500;"⚠ Facture &gt; 500 € — à relancer";"")</f>
        <v/>
      </c>
      <c r="I95" s="2">
        <f>SOMME($C$2:$C$120)-SOMME.SI($C$2:$C$120;$G$2:$G$120;"Oui")</f>
        <v/>
      </c>
      <c r="J95" s="3">
        <f>SI(I95&gt;500;"⚠ ENVOYER MESSAGE PAIEMENT";"")</f>
        <v/>
      </c>
      <c r="K95" t="inlineStr">
        <is>
          <t>Non</t>
        </is>
      </c>
      <c r="L95" t="inlineStr"/>
    </row>
    <row r="96">
      <c r="C96" s="6" t="n">
        <v>0</v>
      </c>
      <c r="D96" s="6" t="n">
        <v>0</v>
      </c>
      <c r="E96" s="7">
        <f>SOMME($D$2:D96)-SOMME($C$2:C96)</f>
        <v/>
      </c>
      <c r="F96" s="3">
        <f>SI(E96&lt;=0;"⚠ SOLDE ÉPUISÉ — faire verser 500 €";"")</f>
        <v/>
      </c>
      <c r="G96" t="inlineStr">
        <is>
          <t>Non</t>
        </is>
      </c>
      <c r="H96" s="3">
        <f>SI(C96&gt;500;"⚠ Facture &gt; 500 € — à relancer";"")</f>
        <v/>
      </c>
      <c r="I96" s="2">
        <f>SOMME($C$2:$C$120)-SOMME.SI($C$2:$C$120;$G$2:$G$120;"Oui")</f>
        <v/>
      </c>
      <c r="J96" s="3">
        <f>SI(I96&gt;500;"⚠ ENVOYER MESSAGE PAIEMENT";"")</f>
        <v/>
      </c>
      <c r="K96" t="inlineStr">
        <is>
          <t>Non</t>
        </is>
      </c>
      <c r="L96" t="inlineStr"/>
    </row>
    <row r="97">
      <c r="C97" s="6" t="n">
        <v>0</v>
      </c>
      <c r="D97" s="6" t="n">
        <v>0</v>
      </c>
      <c r="E97" s="7">
        <f>SOMME($D$2:D97)-SOMME($C$2:C97)</f>
        <v/>
      </c>
      <c r="F97" s="3">
        <f>SI(E97&lt;=0;"⚠ SOLDE ÉPUISÉ — faire verser 500 €";"")</f>
        <v/>
      </c>
      <c r="G97" t="inlineStr">
        <is>
          <t>Non</t>
        </is>
      </c>
      <c r="H97" s="3">
        <f>SI(C97&gt;500;"⚠ Facture &gt; 500 € — à relancer";"")</f>
        <v/>
      </c>
      <c r="I97" s="2">
        <f>SOMME($C$2:$C$120)-SOMME.SI($C$2:$C$120;$G$2:$G$120;"Oui")</f>
        <v/>
      </c>
      <c r="J97" s="3">
        <f>SI(I97&gt;500;"⚠ ENVOYER MESSAGE PAIEMENT";"")</f>
        <v/>
      </c>
      <c r="K97" t="inlineStr">
        <is>
          <t>Non</t>
        </is>
      </c>
      <c r="L97" t="inlineStr"/>
    </row>
    <row r="98">
      <c r="C98" s="6" t="n">
        <v>0</v>
      </c>
      <c r="D98" s="6" t="n">
        <v>0</v>
      </c>
      <c r="E98" s="7">
        <f>SOMME($D$2:D98)-SOMME($C$2:C98)</f>
        <v/>
      </c>
      <c r="F98" s="3">
        <f>SI(E98&lt;=0;"⚠ SOLDE ÉPUISÉ — faire verser 500 €";"")</f>
        <v/>
      </c>
      <c r="G98" t="inlineStr">
        <is>
          <t>Non</t>
        </is>
      </c>
      <c r="H98" s="3">
        <f>SI(C98&gt;500;"⚠ Facture &gt; 500 € — à relancer";"")</f>
        <v/>
      </c>
      <c r="I98" s="2">
        <f>SOMME($C$2:$C$120)-SOMME.SI($C$2:$C$120;$G$2:$G$120;"Oui")</f>
        <v/>
      </c>
      <c r="J98" s="3">
        <f>SI(I98&gt;500;"⚠ ENVOYER MESSAGE PAIEMENT";"")</f>
        <v/>
      </c>
      <c r="K98" t="inlineStr">
        <is>
          <t>Non</t>
        </is>
      </c>
      <c r="L98" t="inlineStr"/>
    </row>
    <row r="99">
      <c r="C99" s="6" t="n">
        <v>0</v>
      </c>
      <c r="D99" s="6" t="n">
        <v>0</v>
      </c>
      <c r="E99" s="7">
        <f>SOMME($D$2:D99)-SOMME($C$2:C99)</f>
        <v/>
      </c>
      <c r="F99" s="3">
        <f>SI(E99&lt;=0;"⚠ SOLDE ÉPUISÉ — faire verser 500 €";"")</f>
        <v/>
      </c>
      <c r="G99" t="inlineStr">
        <is>
          <t>Non</t>
        </is>
      </c>
      <c r="H99" s="3">
        <f>SI(C99&gt;500;"⚠ Facture &gt; 500 € — à relancer";"")</f>
        <v/>
      </c>
      <c r="I99" s="2">
        <f>SOMME($C$2:$C$120)-SOMME.SI($C$2:$C$120;$G$2:$G$120;"Oui")</f>
        <v/>
      </c>
      <c r="J99" s="3">
        <f>SI(I99&gt;500;"⚠ ENVOYER MESSAGE PAIEMENT";"")</f>
        <v/>
      </c>
      <c r="K99" t="inlineStr">
        <is>
          <t>Non</t>
        </is>
      </c>
      <c r="L99" t="inlineStr"/>
    </row>
    <row r="100">
      <c r="C100" s="6" t="n">
        <v>0</v>
      </c>
      <c r="D100" s="6" t="n">
        <v>0</v>
      </c>
      <c r="E100" s="7">
        <f>SOMME($D$2:D100)-SOMME($C$2:C100)</f>
        <v/>
      </c>
      <c r="F100" s="3">
        <f>SI(E100&lt;=0;"⚠ SOLDE ÉPUISÉ — faire verser 500 €";"")</f>
        <v/>
      </c>
      <c r="G100" t="inlineStr">
        <is>
          <t>Non</t>
        </is>
      </c>
      <c r="H100" s="3">
        <f>SI(C100&gt;500;"⚠ Facture &gt; 500 € — à relancer";"")</f>
        <v/>
      </c>
      <c r="I100" s="2">
        <f>SOMME($C$2:$C$120)-SOMME.SI($C$2:$C$120;$G$2:$G$120;"Oui")</f>
        <v/>
      </c>
      <c r="J100" s="3">
        <f>SI(I100&gt;500;"⚠ ENVOYER MESSAGE PAIEMENT";"")</f>
        <v/>
      </c>
      <c r="K100" t="inlineStr">
        <is>
          <t>Non</t>
        </is>
      </c>
      <c r="L100" t="inlineStr"/>
    </row>
    <row r="101">
      <c r="C101" s="6" t="n">
        <v>0</v>
      </c>
      <c r="D101" s="6" t="n">
        <v>0</v>
      </c>
      <c r="E101" s="7">
        <f>SOMME($D$2:D101)-SOMME($C$2:C101)</f>
        <v/>
      </c>
      <c r="F101" s="3">
        <f>SI(E101&lt;=0;"⚠ SOLDE ÉPUISÉ — faire verser 500 €";"")</f>
        <v/>
      </c>
      <c r="G101" t="inlineStr">
        <is>
          <t>Non</t>
        </is>
      </c>
      <c r="H101" s="3">
        <f>SI(C101&gt;500;"⚠ Facture &gt; 500 € — à relancer";"")</f>
        <v/>
      </c>
      <c r="I101" s="2">
        <f>SOMME($C$2:$C$120)-SOMME.SI($C$2:$C$120;$G$2:$G$120;"Oui")</f>
        <v/>
      </c>
      <c r="J101" s="3">
        <f>SI(I101&gt;500;"⚠ ENVOYER MESSAGE PAIEMENT";"")</f>
        <v/>
      </c>
      <c r="K101" t="inlineStr">
        <is>
          <t>Non</t>
        </is>
      </c>
      <c r="L101" t="inlineStr"/>
    </row>
    <row r="102">
      <c r="C102" s="6" t="n">
        <v>0</v>
      </c>
      <c r="D102" s="6" t="n">
        <v>0</v>
      </c>
      <c r="E102" s="7">
        <f>SOMME($D$2:D102)-SOMME($C$2:C102)</f>
        <v/>
      </c>
      <c r="F102" s="3">
        <f>SI(E102&lt;=0;"⚠ SOLDE ÉPUISÉ — faire verser 500 €";"")</f>
        <v/>
      </c>
      <c r="G102" t="inlineStr">
        <is>
          <t>Non</t>
        </is>
      </c>
      <c r="H102" s="3">
        <f>SI(C102&gt;500;"⚠ Facture &gt; 500 € — à relancer";"")</f>
        <v/>
      </c>
      <c r="I102" s="2">
        <f>SOMME($C$2:$C$120)-SOMME.SI($C$2:$C$120;$G$2:$G$120;"Oui")</f>
        <v/>
      </c>
      <c r="J102" s="3">
        <f>SI(I102&gt;500;"⚠ ENVOYER MESSAGE PAIEMENT";"")</f>
        <v/>
      </c>
      <c r="K102" t="inlineStr">
        <is>
          <t>Non</t>
        </is>
      </c>
      <c r="L102" t="inlineStr"/>
    </row>
    <row r="103">
      <c r="C103" s="6" t="n">
        <v>0</v>
      </c>
      <c r="D103" s="6" t="n">
        <v>0</v>
      </c>
      <c r="E103" s="7">
        <f>SOMME($D$2:D103)-SOMME($C$2:C103)</f>
        <v/>
      </c>
      <c r="F103" s="3">
        <f>SI(E103&lt;=0;"⚠ SOLDE ÉPUISÉ — faire verser 500 €";"")</f>
        <v/>
      </c>
      <c r="G103" t="inlineStr">
        <is>
          <t>Non</t>
        </is>
      </c>
      <c r="H103" s="3">
        <f>SI(C103&gt;500;"⚠ Facture &gt; 500 € — à relancer";"")</f>
        <v/>
      </c>
      <c r="I103" s="2">
        <f>SOMME($C$2:$C$120)-SOMME.SI($C$2:$C$120;$G$2:$G$120;"Oui")</f>
        <v/>
      </c>
      <c r="J103" s="3">
        <f>SI(I103&gt;500;"⚠ ENVOYER MESSAGE PAIEMENT";"")</f>
        <v/>
      </c>
      <c r="K103" t="inlineStr">
        <is>
          <t>Non</t>
        </is>
      </c>
      <c r="L103" t="inlineStr"/>
    </row>
    <row r="104">
      <c r="C104" s="6" t="n">
        <v>0</v>
      </c>
      <c r="D104" s="6" t="n">
        <v>0</v>
      </c>
      <c r="E104" s="7">
        <f>SOMME($D$2:D104)-SOMME($C$2:C104)</f>
        <v/>
      </c>
      <c r="F104" s="3">
        <f>SI(E104&lt;=0;"⚠ SOLDE ÉPUISÉ — faire verser 500 €";"")</f>
        <v/>
      </c>
      <c r="G104" t="inlineStr">
        <is>
          <t>Non</t>
        </is>
      </c>
      <c r="H104" s="3">
        <f>SI(C104&gt;500;"⚠ Facture &gt; 500 € — à relancer";"")</f>
        <v/>
      </c>
      <c r="I104" s="2">
        <f>SOMME($C$2:$C$120)-SOMME.SI($C$2:$C$120;$G$2:$G$120;"Oui")</f>
        <v/>
      </c>
      <c r="J104" s="3">
        <f>SI(I104&gt;500;"⚠ ENVOYER MESSAGE PAIEMENT";"")</f>
        <v/>
      </c>
      <c r="K104" t="inlineStr">
        <is>
          <t>Non</t>
        </is>
      </c>
      <c r="L104" t="inlineStr"/>
    </row>
    <row r="105">
      <c r="C105" s="6" t="n">
        <v>0</v>
      </c>
      <c r="D105" s="6" t="n">
        <v>0</v>
      </c>
      <c r="E105" s="7">
        <f>SOMME($D$2:D105)-SOMME($C$2:C105)</f>
        <v/>
      </c>
      <c r="F105" s="3">
        <f>SI(E105&lt;=0;"⚠ SOLDE ÉPUISÉ — faire verser 500 €";"")</f>
        <v/>
      </c>
      <c r="G105" t="inlineStr">
        <is>
          <t>Non</t>
        </is>
      </c>
      <c r="H105" s="3">
        <f>SI(C105&gt;500;"⚠ Facture &gt; 500 € — à relancer";"")</f>
        <v/>
      </c>
      <c r="I105" s="2">
        <f>SOMME($C$2:$C$120)-SOMME.SI($C$2:$C$120;$G$2:$G$120;"Oui")</f>
        <v/>
      </c>
      <c r="J105" s="3">
        <f>SI(I105&gt;500;"⚠ ENVOYER MESSAGE PAIEMENT";"")</f>
        <v/>
      </c>
      <c r="K105" t="inlineStr">
        <is>
          <t>Non</t>
        </is>
      </c>
      <c r="L105" t="inlineStr"/>
    </row>
    <row r="106">
      <c r="C106" s="6" t="n">
        <v>0</v>
      </c>
      <c r="D106" s="6" t="n">
        <v>0</v>
      </c>
      <c r="E106" s="7">
        <f>SOMME($D$2:D106)-SOMME($C$2:C106)</f>
        <v/>
      </c>
      <c r="F106" s="3">
        <f>SI(E106&lt;=0;"⚠ SOLDE ÉPUISÉ — faire verser 500 €";"")</f>
        <v/>
      </c>
      <c r="G106" t="inlineStr">
        <is>
          <t>Non</t>
        </is>
      </c>
      <c r="H106" s="3">
        <f>SI(C106&gt;500;"⚠ Facture &gt; 500 € — à relancer";"")</f>
        <v/>
      </c>
      <c r="I106" s="2">
        <f>SOMME($C$2:$C$120)-SOMME.SI($C$2:$C$120;$G$2:$G$120;"Oui")</f>
        <v/>
      </c>
      <c r="J106" s="3">
        <f>SI(I106&gt;500;"⚠ ENVOYER MESSAGE PAIEMENT";"")</f>
        <v/>
      </c>
      <c r="K106" t="inlineStr">
        <is>
          <t>Non</t>
        </is>
      </c>
      <c r="L106" t="inlineStr"/>
    </row>
    <row r="107">
      <c r="C107" s="6" t="n">
        <v>0</v>
      </c>
      <c r="D107" s="6" t="n">
        <v>0</v>
      </c>
      <c r="E107" s="7">
        <f>SOMME($D$2:D107)-SOMME($C$2:C107)</f>
        <v/>
      </c>
      <c r="F107" s="3">
        <f>SI(E107&lt;=0;"⚠ SOLDE ÉPUISÉ — faire verser 500 €";"")</f>
        <v/>
      </c>
      <c r="G107" t="inlineStr">
        <is>
          <t>Non</t>
        </is>
      </c>
      <c r="H107" s="3">
        <f>SI(C107&gt;500;"⚠ Facture &gt; 500 € — à relancer";"")</f>
        <v/>
      </c>
      <c r="I107" s="2">
        <f>SOMME($C$2:$C$120)-SOMME.SI($C$2:$C$120;$G$2:$G$120;"Oui")</f>
        <v/>
      </c>
      <c r="J107" s="3">
        <f>SI(I107&gt;500;"⚠ ENVOYER MESSAGE PAIEMENT";"")</f>
        <v/>
      </c>
      <c r="K107" t="inlineStr">
        <is>
          <t>Non</t>
        </is>
      </c>
      <c r="L107" t="inlineStr"/>
    </row>
    <row r="108">
      <c r="C108" s="6" t="n">
        <v>0</v>
      </c>
      <c r="D108" s="6" t="n">
        <v>0</v>
      </c>
      <c r="E108" s="7">
        <f>SOMME($D$2:D108)-SOMME($C$2:C108)</f>
        <v/>
      </c>
      <c r="F108" s="3">
        <f>SI(E108&lt;=0;"⚠ SOLDE ÉPUISÉ — faire verser 500 €";"")</f>
        <v/>
      </c>
      <c r="G108" t="inlineStr">
        <is>
          <t>Non</t>
        </is>
      </c>
      <c r="H108" s="3">
        <f>SI(C108&gt;500;"⚠ Facture &gt; 500 € — à relancer";"")</f>
        <v/>
      </c>
      <c r="I108" s="2">
        <f>SOMME($C$2:$C$120)-SOMME.SI($C$2:$C$120;$G$2:$G$120;"Oui")</f>
        <v/>
      </c>
      <c r="J108" s="3">
        <f>SI(I108&gt;500;"⚠ ENVOYER MESSAGE PAIEMENT";"")</f>
        <v/>
      </c>
      <c r="K108" t="inlineStr">
        <is>
          <t>Non</t>
        </is>
      </c>
      <c r="L108" t="inlineStr"/>
    </row>
    <row r="109">
      <c r="C109" s="6" t="n">
        <v>0</v>
      </c>
      <c r="D109" s="6" t="n">
        <v>0</v>
      </c>
      <c r="E109" s="7">
        <f>SOMME($D$2:D109)-SOMME($C$2:C109)</f>
        <v/>
      </c>
      <c r="F109" s="3">
        <f>SI(E109&lt;=0;"⚠ SOLDE ÉPUISÉ — faire verser 500 €";"")</f>
        <v/>
      </c>
      <c r="G109" t="inlineStr">
        <is>
          <t>Non</t>
        </is>
      </c>
      <c r="H109" s="3">
        <f>SI(C109&gt;500;"⚠ Facture &gt; 500 € — à relancer";"")</f>
        <v/>
      </c>
      <c r="I109" s="2">
        <f>SOMME($C$2:$C$120)-SOMME.SI($C$2:$C$120;$G$2:$G$120;"Oui")</f>
        <v/>
      </c>
      <c r="J109" s="3">
        <f>SI(I109&gt;500;"⚠ ENVOYER MESSAGE PAIEMENT";"")</f>
        <v/>
      </c>
      <c r="K109" t="inlineStr">
        <is>
          <t>Non</t>
        </is>
      </c>
      <c r="L109" t="inlineStr"/>
    </row>
    <row r="110">
      <c r="C110" s="6" t="n">
        <v>0</v>
      </c>
      <c r="D110" s="6" t="n">
        <v>0</v>
      </c>
      <c r="E110" s="7">
        <f>SOMME($D$2:D110)-SOMME($C$2:C110)</f>
        <v/>
      </c>
      <c r="F110" s="3">
        <f>SI(E110&lt;=0;"⚠ SOLDE ÉPUISÉ — faire verser 500 €";"")</f>
        <v/>
      </c>
      <c r="G110" t="inlineStr">
        <is>
          <t>Non</t>
        </is>
      </c>
      <c r="H110" s="3">
        <f>SI(C110&gt;500;"⚠ Facture &gt; 500 € — à relancer";"")</f>
        <v/>
      </c>
      <c r="I110" s="2">
        <f>SOMME($C$2:$C$120)-SOMME.SI($C$2:$C$120;$G$2:$G$120;"Oui")</f>
        <v/>
      </c>
      <c r="J110" s="3">
        <f>SI(I110&gt;500;"⚠ ENVOYER MESSAGE PAIEMENT";"")</f>
        <v/>
      </c>
      <c r="K110" t="inlineStr">
        <is>
          <t>Non</t>
        </is>
      </c>
      <c r="L110" t="inlineStr"/>
    </row>
    <row r="111">
      <c r="C111" s="6" t="n">
        <v>0</v>
      </c>
      <c r="D111" s="6" t="n">
        <v>0</v>
      </c>
      <c r="E111" s="7">
        <f>SOMME($D$2:D111)-SOMME($C$2:C111)</f>
        <v/>
      </c>
      <c r="F111" s="3">
        <f>SI(E111&lt;=0;"⚠ SOLDE ÉPUISÉ — faire verser 500 €";"")</f>
        <v/>
      </c>
      <c r="G111" t="inlineStr">
        <is>
          <t>Non</t>
        </is>
      </c>
      <c r="H111" s="3">
        <f>SI(C111&gt;500;"⚠ Facture &gt; 500 € — à relancer";"")</f>
        <v/>
      </c>
      <c r="I111" s="2">
        <f>SOMME($C$2:$C$120)-SOMME.SI($C$2:$C$120;$G$2:$G$120;"Oui")</f>
        <v/>
      </c>
      <c r="J111" s="3">
        <f>SI(I111&gt;500;"⚠ ENVOYER MESSAGE PAIEMENT";"")</f>
        <v/>
      </c>
      <c r="K111" t="inlineStr">
        <is>
          <t>Non</t>
        </is>
      </c>
      <c r="L111" t="inlineStr"/>
    </row>
    <row r="112">
      <c r="C112" s="6" t="n">
        <v>0</v>
      </c>
      <c r="D112" s="6" t="n">
        <v>0</v>
      </c>
      <c r="E112" s="7">
        <f>SOMME($D$2:D112)-SOMME($C$2:C112)</f>
        <v/>
      </c>
      <c r="F112" s="3">
        <f>SI(E112&lt;=0;"⚠ SOLDE ÉPUISÉ — faire verser 500 €";"")</f>
        <v/>
      </c>
      <c r="G112" t="inlineStr">
        <is>
          <t>Non</t>
        </is>
      </c>
      <c r="H112" s="3">
        <f>SI(C112&gt;500;"⚠ Facture &gt; 500 € — à relancer";"")</f>
        <v/>
      </c>
      <c r="I112" s="2">
        <f>SOMME($C$2:$C$120)-SOMME.SI($C$2:$C$120;$G$2:$G$120;"Oui")</f>
        <v/>
      </c>
      <c r="J112" s="3">
        <f>SI(I112&gt;500;"⚠ ENVOYER MESSAGE PAIEMENT";"")</f>
        <v/>
      </c>
      <c r="K112" t="inlineStr">
        <is>
          <t>Non</t>
        </is>
      </c>
      <c r="L112" t="inlineStr"/>
    </row>
    <row r="113">
      <c r="C113" s="6" t="n">
        <v>0</v>
      </c>
      <c r="D113" s="6" t="n">
        <v>0</v>
      </c>
      <c r="E113" s="7">
        <f>SOMME($D$2:D113)-SOMME($C$2:C113)</f>
        <v/>
      </c>
      <c r="F113" s="3">
        <f>SI(E113&lt;=0;"⚠ SOLDE ÉPUISÉ — faire verser 500 €";"")</f>
        <v/>
      </c>
      <c r="G113" t="inlineStr">
        <is>
          <t>Non</t>
        </is>
      </c>
      <c r="H113" s="3">
        <f>SI(C113&gt;500;"⚠ Facture &gt; 500 € — à relancer";"")</f>
        <v/>
      </c>
      <c r="I113" s="2">
        <f>SOMME($C$2:$C$120)-SOMME.SI($C$2:$C$120;$G$2:$G$120;"Oui")</f>
        <v/>
      </c>
      <c r="J113" s="3">
        <f>SI(I113&gt;500;"⚠ ENVOYER MESSAGE PAIEMENT";"")</f>
        <v/>
      </c>
      <c r="K113" t="inlineStr">
        <is>
          <t>Non</t>
        </is>
      </c>
      <c r="L113" t="inlineStr"/>
    </row>
    <row r="114">
      <c r="C114" s="6" t="n">
        <v>0</v>
      </c>
      <c r="D114" s="6" t="n">
        <v>0</v>
      </c>
      <c r="E114" s="7">
        <f>SOMME($D$2:D114)-SOMME($C$2:C114)</f>
        <v/>
      </c>
      <c r="F114" s="3">
        <f>SI(E114&lt;=0;"⚠ SOLDE ÉPUISÉ — faire verser 500 €";"")</f>
        <v/>
      </c>
      <c r="G114" t="inlineStr">
        <is>
          <t>Non</t>
        </is>
      </c>
      <c r="H114" s="3">
        <f>SI(C114&gt;500;"⚠ Facture &gt; 500 € — à relancer";"")</f>
        <v/>
      </c>
      <c r="I114" s="2">
        <f>SOMME($C$2:$C$120)-SOMME.SI($C$2:$C$120;$G$2:$G$120;"Oui")</f>
        <v/>
      </c>
      <c r="J114" s="3">
        <f>SI(I114&gt;500;"⚠ ENVOYER MESSAGE PAIEMENT";"")</f>
        <v/>
      </c>
      <c r="K114" t="inlineStr">
        <is>
          <t>Non</t>
        </is>
      </c>
      <c r="L114" t="inlineStr"/>
    </row>
    <row r="115">
      <c r="C115" s="6" t="n">
        <v>0</v>
      </c>
      <c r="D115" s="6" t="n">
        <v>0</v>
      </c>
      <c r="E115" s="7">
        <f>SOMME($D$2:D115)-SOMME($C$2:C115)</f>
        <v/>
      </c>
      <c r="F115" s="3">
        <f>SI(E115&lt;=0;"⚠ SOLDE ÉPUISÉ — faire verser 500 €";"")</f>
        <v/>
      </c>
      <c r="G115" t="inlineStr">
        <is>
          <t>Non</t>
        </is>
      </c>
      <c r="H115" s="3">
        <f>SI(C115&gt;500;"⚠ Facture &gt; 500 € — à relancer";"")</f>
        <v/>
      </c>
      <c r="I115" s="2">
        <f>SOMME($C$2:$C$120)-SOMME.SI($C$2:$C$120;$G$2:$G$120;"Oui")</f>
        <v/>
      </c>
      <c r="J115" s="3">
        <f>SI(I115&gt;500;"⚠ ENVOYER MESSAGE PAIEMENT";"")</f>
        <v/>
      </c>
      <c r="K115" t="inlineStr">
        <is>
          <t>Non</t>
        </is>
      </c>
      <c r="L115" t="inlineStr"/>
    </row>
    <row r="116">
      <c r="C116" s="6" t="n">
        <v>0</v>
      </c>
      <c r="D116" s="6" t="n">
        <v>0</v>
      </c>
      <c r="E116" s="7">
        <f>SOMME($D$2:D116)-SOMME($C$2:C116)</f>
        <v/>
      </c>
      <c r="F116" s="3">
        <f>SI(E116&lt;=0;"⚠ SOLDE ÉPUISÉ — faire verser 500 €";"")</f>
        <v/>
      </c>
      <c r="G116" t="inlineStr">
        <is>
          <t>Non</t>
        </is>
      </c>
      <c r="H116" s="3">
        <f>SI(C116&gt;500;"⚠ Facture &gt; 500 € — à relancer";"")</f>
        <v/>
      </c>
      <c r="I116" s="2">
        <f>SOMME($C$2:$C$120)-SOMME.SI($C$2:$C$120;$G$2:$G$120;"Oui")</f>
        <v/>
      </c>
      <c r="J116" s="3">
        <f>SI(I116&gt;500;"⚠ ENVOYER MESSAGE PAIEMENT";"")</f>
        <v/>
      </c>
      <c r="K116" t="inlineStr">
        <is>
          <t>Non</t>
        </is>
      </c>
      <c r="L116" t="inlineStr"/>
    </row>
    <row r="117">
      <c r="C117" s="6" t="n">
        <v>0</v>
      </c>
      <c r="D117" s="6" t="n">
        <v>0</v>
      </c>
      <c r="E117" s="7">
        <f>SOMME($D$2:D117)-SOMME($C$2:C117)</f>
        <v/>
      </c>
      <c r="F117" s="3">
        <f>SI(E117&lt;=0;"⚠ SOLDE ÉPUISÉ — faire verser 500 €";"")</f>
        <v/>
      </c>
      <c r="G117" t="inlineStr">
        <is>
          <t>Non</t>
        </is>
      </c>
      <c r="H117" s="3">
        <f>SI(C117&gt;500;"⚠ Facture &gt; 500 € — à relancer";"")</f>
        <v/>
      </c>
      <c r="I117" s="2">
        <f>SOMME($C$2:$C$120)-SOMME.SI($C$2:$C$120;$G$2:$G$120;"Oui")</f>
        <v/>
      </c>
      <c r="J117" s="3">
        <f>SI(I117&gt;500;"⚠ ENVOYER MESSAGE PAIEMENT";"")</f>
        <v/>
      </c>
      <c r="K117" t="inlineStr">
        <is>
          <t>Non</t>
        </is>
      </c>
      <c r="L117" t="inlineStr"/>
    </row>
    <row r="118">
      <c r="C118" s="6" t="n">
        <v>0</v>
      </c>
      <c r="D118" s="6" t="n">
        <v>0</v>
      </c>
      <c r="E118" s="7">
        <f>SOMME($D$2:D118)-SOMME($C$2:C118)</f>
        <v/>
      </c>
      <c r="F118" s="3">
        <f>SI(E118&lt;=0;"⚠ SOLDE ÉPUISÉ — faire verser 500 €";"")</f>
        <v/>
      </c>
      <c r="G118" t="inlineStr">
        <is>
          <t>Non</t>
        </is>
      </c>
      <c r="H118" s="3">
        <f>SI(C118&gt;500;"⚠ Facture &gt; 500 € — à relancer";"")</f>
        <v/>
      </c>
      <c r="I118" s="2">
        <f>SOMME($C$2:$C$120)-SOMME.SI($C$2:$C$120;$G$2:$G$120;"Oui")</f>
        <v/>
      </c>
      <c r="J118" s="3">
        <f>SI(I118&gt;500;"⚠ ENVOYER MESSAGE PAIEMENT";"")</f>
        <v/>
      </c>
      <c r="K118" t="inlineStr">
        <is>
          <t>Non</t>
        </is>
      </c>
      <c r="L118" t="inlineStr"/>
    </row>
    <row r="119">
      <c r="C119" s="6" t="n">
        <v>0</v>
      </c>
      <c r="D119" s="6" t="n">
        <v>0</v>
      </c>
      <c r="E119" s="7">
        <f>SOMME($D$2:D119)-SOMME($C$2:C119)</f>
        <v/>
      </c>
      <c r="F119" s="3">
        <f>SI(E119&lt;=0;"⚠ SOLDE ÉPUISÉ — faire verser 500 €";"")</f>
        <v/>
      </c>
      <c r="G119" t="inlineStr">
        <is>
          <t>Non</t>
        </is>
      </c>
      <c r="H119" s="3">
        <f>SI(C119&gt;500;"⚠ Facture &gt; 500 € — à relancer";"")</f>
        <v/>
      </c>
      <c r="I119" s="2">
        <f>SOMME($C$2:$C$120)-SOMME.SI($C$2:$C$120;$G$2:$G$120;"Oui")</f>
        <v/>
      </c>
      <c r="J119" s="3">
        <f>SI(I119&gt;500;"⚠ ENVOYER MESSAGE PAIEMENT";"")</f>
        <v/>
      </c>
      <c r="K119" t="inlineStr">
        <is>
          <t>Non</t>
        </is>
      </c>
      <c r="L119" t="inlineStr"/>
    </row>
    <row r="120">
      <c r="C120" s="6" t="n">
        <v>0</v>
      </c>
      <c r="D120" s="6" t="n">
        <v>0</v>
      </c>
      <c r="E120" s="7">
        <f>SOMME($D$2:D120)-SOMME($C$2:C120)</f>
        <v/>
      </c>
      <c r="F120" s="3">
        <f>SI(E120&lt;=0;"⚠ SOLDE ÉPUISÉ — faire verser 500 €";"")</f>
        <v/>
      </c>
      <c r="G120" t="inlineStr">
        <is>
          <t>Non</t>
        </is>
      </c>
      <c r="H120" s="3">
        <f>SI(C120&gt;500;"⚠ Facture &gt; 500 € — à relancer";"")</f>
        <v/>
      </c>
      <c r="I120" s="2">
        <f>SOMME($C$2:$C$120)-SOMME.SI($C$2:$C$120;$G$2:$G$120;"Oui")</f>
        <v/>
      </c>
      <c r="J120" s="3">
        <f>SI(I120&gt;500;"⚠ ENVOYER MESSAGE PAIEMENT";"")</f>
        <v/>
      </c>
      <c r="K120" t="inlineStr">
        <is>
          <t>Non</t>
        </is>
      </c>
      <c r="L120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6"/>
  <sheetViews>
    <sheetView workbookViewId="0">
      <selection activeCell="A1" sqref="A1"/>
    </sheetView>
  </sheetViews>
  <sheetFormatPr baseColWidth="8" defaultRowHeight="15" outlineLevelCol="0"/>
  <cols>
    <col width="72" customWidth="1" min="1" max="1"/>
  </cols>
  <sheetData>
    <row r="1">
      <c r="A1" t="inlineStr">
        <is>
          <t>1. Un onglet par restaurant (My French factory · My french Cantine).</t>
        </is>
      </c>
    </row>
    <row r="2">
      <c r="A2" t="inlineStr">
        <is>
          <t>2. Colonne C (jaune) : montant facture — le solde (E) se recalcule tout seul.</t>
        </is>
      </c>
    </row>
    <row r="3">
      <c r="A3" t="inlineStr">
        <is>
          <t>3. Colonne D (jaune) : versement client (500 €).</t>
        </is>
      </c>
    </row>
    <row r="4">
      <c r="A4" t="inlineStr">
        <is>
          <t>4. Téléchargez le fichier .xlsx sur casadessert.fr/outils/</t>
        </is>
      </c>
    </row>
    <row r="5">
      <c r="A5" t="inlineStr">
        <is>
          <t>5. Ouvrez avec Microsoft Excel (pas Aperçu Mac). Après saisie en C : Entrée.</t>
        </is>
      </c>
    </row>
    <row r="6">
      <c r="A6" t="inlineStr">
        <is>
          <t>6. Si rien ne bouge : Fichier → Options → Formules → Calcul automatique.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2026-05-16T18:34:14Z</dcterms:created>
  <dcterms:modified xsi:type="dcterms:W3CDTF">2026-05-16T18:34:14Z</dcterms:modified>
</cp:coreProperties>
</file>