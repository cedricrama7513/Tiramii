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y French factory" sheetId="1" r:id="rId1"/>
    <sheet name="My french Cantine" sheetId="2" r:id="rId2"/>
    <sheet name="Synthèse" sheetId="3" r:id="rId3"/>
    <sheet name="Mode emploi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20"/>
  <sheetViews>
    <sheetView workbookViewId="0"/>
  </sheetViews>
  <cols>
    <col min="1" max="1" width="12.83203125" customWidth="1"/>
    <col min="2" max="2" width="18.83203125" customWidth="1"/>
    <col min="3" max="3" width="10.83203125" customWidth="1"/>
    <col min="4" max="4" width="14.83203125" customWidth="1"/>
    <col min="5" max="5" width="12.83203125" customWidth="1"/>
    <col min="6" max="6" width="28.83203125" customWidth="1"/>
    <col min="7" max="7" width="10.83203125" customWidth="1"/>
    <col min="8" max="8" width="26.83203125" customWidth="1"/>
    <col min="9" max="9" width="14.83203125" customWidth="1"/>
    <col min="10" max="10" width="26.83203125" customWidth="1"/>
    <col min="11" max="11" width="14.83203125" customWidth="1"/>
    <col min="12" max="12" width="12.83203125" customWidth="1"/>
  </cols>
  <sheetData>
    <row r="1">
      <c r="A1" t="str">
        <v>Date facture</v>
      </c>
      <c r="B1" t="str">
        <v>N° facture</v>
      </c>
      <c r="C1" t="str">
        <v>Montant facture (€)</v>
      </c>
      <c r="D1" t="str">
        <v>Versement (€)</v>
      </c>
      <c r="E1" t="str">
        <v>Solde (€)</v>
      </c>
      <c r="F1" t="str">
        <v>Alerte solde</v>
      </c>
      <c r="G1" t="str">
        <v>Payé ? (Oui / Non)</v>
      </c>
      <c r="H1" t="str">
        <v>Alerte facture &gt; 500 €</v>
      </c>
      <c r="I1" t="str">
        <v>Encours impayé (€)</v>
      </c>
      <c r="J1" t="str">
        <v>Alerte encours</v>
      </c>
      <c r="K1" t="str">
        <v>Message envoyé ?</v>
      </c>
      <c r="L1" t="str">
        <v>Date relance</v>
      </c>
    </row>
    <row r="2">
      <c r="A2" t="str">
        <v>2026-01-01</v>
      </c>
      <c r="B2" t="str">
        <v>FAC-MYFRENCH-2026-01</v>
      </c>
      <c r="C2" t="str">
        <v/>
      </c>
      <c r="D2">
        <v>500</v>
      </c>
      <c r="E2">
        <f>D2-C2</f>
      </c>
      <c r="F2">
        <f>IF(E2&lt;=0,"⚠ SOLDE ÉPUISÉ — faire verser 500 €","")</f>
      </c>
      <c r="G2" t="str">
        <v>Non</v>
      </c>
      <c r="H2">
        <f>IF(C2&gt;500,"⚠ Facture &gt; 500 € — à relancer","")</f>
      </c>
      <c r="I2">
        <f>SUM($C$2:$C$120)-SUMIF($G$2:$G$120,"Oui",$C$2:$C$120)</f>
      </c>
      <c r="J2">
        <f>IF(I2&gt;500,"⚠ ENVOYER MESSAGE PAIEMENT","")</f>
      </c>
      <c r="K2" t="str">
        <v>Non</v>
      </c>
      <c r="L2" t="str">
        <v/>
      </c>
    </row>
    <row r="3">
      <c r="A3" t="str">
        <v>2026-02-01</v>
      </c>
      <c r="B3" t="str">
        <v>FAC-MYFRENCH-2026-02</v>
      </c>
      <c r="C3" t="str">
        <v/>
      </c>
      <c r="D3">
        <v>0</v>
      </c>
      <c r="E3">
        <f>E2+D3-C3</f>
      </c>
      <c r="F3">
        <f>IF(E3&lt;=0,"⚠ SOLDE ÉPUISÉ — faire verser 500 €","")</f>
      </c>
      <c r="G3" t="str">
        <v>Non</v>
      </c>
      <c r="H3">
        <f>IF(C3&gt;500,"⚠ Facture &gt; 500 € — à relancer","")</f>
      </c>
      <c r="I3">
        <f>SUM($C$2:$C$120)-SUMIF($G$2:$G$120,"Oui",$C$2:$C$120)</f>
      </c>
      <c r="J3">
        <f>IF(I3&gt;500,"⚠ ENVOYER MESSAGE PAIEMENT","")</f>
      </c>
      <c r="K3" t="str">
        <v>Non</v>
      </c>
      <c r="L3" t="str">
        <v/>
      </c>
    </row>
    <row r="4">
      <c r="A4" t="str">
        <v>2026-03-01</v>
      </c>
      <c r="B4" t="str">
        <v>FAC-MYFRENCH-2026-03</v>
      </c>
      <c r="C4" t="str">
        <v/>
      </c>
      <c r="D4">
        <v>0</v>
      </c>
      <c r="E4">
        <f>E3+D4-C4</f>
      </c>
      <c r="F4">
        <f>IF(E4&lt;=0,"⚠ SOLDE ÉPUISÉ — faire verser 500 €","")</f>
      </c>
      <c r="G4" t="str">
        <v>Non</v>
      </c>
      <c r="H4">
        <f>IF(C4&gt;500,"⚠ Facture &gt; 500 € — à relancer","")</f>
      </c>
      <c r="I4">
        <f>SUM($C$2:$C$120)-SUMIF($G$2:$G$120,"Oui",$C$2:$C$120)</f>
      </c>
      <c r="J4">
        <f>IF(I4&gt;500,"⚠ ENVOYER MESSAGE PAIEMENT","")</f>
      </c>
      <c r="K4" t="str">
        <v>Non</v>
      </c>
      <c r="L4" t="str">
        <v/>
      </c>
    </row>
    <row r="5">
      <c r="A5" t="str">
        <v>2026-04-01</v>
      </c>
      <c r="B5" t="str">
        <v>FAC-MYFRENCH-2026-04</v>
      </c>
      <c r="C5" t="str">
        <v/>
      </c>
      <c r="D5">
        <v>0</v>
      </c>
      <c r="E5">
        <f>E4+D5-C5</f>
      </c>
      <c r="F5">
        <f>IF(E5&lt;=0,"⚠ SOLDE ÉPUISÉ — faire verser 500 €","")</f>
      </c>
      <c r="G5" t="str">
        <v>Non</v>
      </c>
      <c r="H5">
        <f>IF(C5&gt;500,"⚠ Facture &gt; 500 € — à relancer","")</f>
      </c>
      <c r="I5">
        <f>SUM($C$2:$C$120)-SUMIF($G$2:$G$120,"Oui",$C$2:$C$120)</f>
      </c>
      <c r="J5">
        <f>IF(I5&gt;500,"⚠ ENVOYER MESSAGE PAIEMENT","")</f>
      </c>
      <c r="K5" t="str">
        <v>Non</v>
      </c>
      <c r="L5" t="str">
        <v/>
      </c>
    </row>
    <row r="6">
      <c r="A6" t="str">
        <v>2026-05-01</v>
      </c>
      <c r="B6" t="str">
        <v>FAC-MYFRENCH-2026-05</v>
      </c>
      <c r="C6" t="str">
        <v/>
      </c>
      <c r="D6">
        <v>0</v>
      </c>
      <c r="E6">
        <f>E5+D6-C6</f>
      </c>
      <c r="F6">
        <f>IF(E6&lt;=0,"⚠ SOLDE ÉPUISÉ — faire verser 500 €","")</f>
      </c>
      <c r="G6" t="str">
        <v>Non</v>
      </c>
      <c r="H6">
        <f>IF(C6&gt;500,"⚠ Facture &gt; 500 € — à relancer","")</f>
      </c>
      <c r="I6">
        <f>SUM($C$2:$C$120)-SUMIF($G$2:$G$120,"Oui",$C$2:$C$120)</f>
      </c>
      <c r="J6">
        <f>IF(I6&gt;500,"⚠ ENVOYER MESSAGE PAIEMENT","")</f>
      </c>
      <c r="K6" t="str">
        <v>Non</v>
      </c>
      <c r="L6" t="str">
        <v/>
      </c>
    </row>
    <row r="7">
      <c r="A7" t="str">
        <v>2026-06-01</v>
      </c>
      <c r="B7" t="str">
        <v>FAC-MYFRENCH-2026-06</v>
      </c>
      <c r="C7" t="str">
        <v/>
      </c>
      <c r="D7">
        <v>0</v>
      </c>
      <c r="E7">
        <f>E6+D7-C7</f>
      </c>
      <c r="F7">
        <f>IF(E7&lt;=0,"⚠ SOLDE ÉPUISÉ — faire verser 500 €","")</f>
      </c>
      <c r="G7" t="str">
        <v>Non</v>
      </c>
      <c r="H7">
        <f>IF(C7&gt;500,"⚠ Facture &gt; 500 € — à relancer","")</f>
      </c>
      <c r="I7">
        <f>SUM($C$2:$C$120)-SUMIF($G$2:$G$120,"Oui",$C$2:$C$120)</f>
      </c>
      <c r="J7">
        <f>IF(I7&gt;500,"⚠ ENVOYER MESSAGE PAIEMENT","")</f>
      </c>
      <c r="K7" t="str">
        <v>Non</v>
      </c>
      <c r="L7" t="str">
        <v/>
      </c>
    </row>
    <row r="8">
      <c r="A8" t="str">
        <v>2026-07-01</v>
      </c>
      <c r="B8" t="str">
        <v>FAC-MYFRENCH-2026-07</v>
      </c>
      <c r="C8" t="str">
        <v/>
      </c>
      <c r="D8">
        <v>0</v>
      </c>
      <c r="E8">
        <f>E7+D8-C8</f>
      </c>
      <c r="F8">
        <f>IF(E8&lt;=0,"⚠ SOLDE ÉPUISÉ — faire verser 500 €","")</f>
      </c>
      <c r="G8" t="str">
        <v>Non</v>
      </c>
      <c r="H8">
        <f>IF(C8&gt;500,"⚠ Facture &gt; 500 € — à relancer","")</f>
      </c>
      <c r="I8">
        <f>SUM($C$2:$C$120)-SUMIF($G$2:$G$120,"Oui",$C$2:$C$120)</f>
      </c>
      <c r="J8">
        <f>IF(I8&gt;500,"⚠ ENVOYER MESSAGE PAIEMENT","")</f>
      </c>
      <c r="K8" t="str">
        <v>Non</v>
      </c>
      <c r="L8" t="str">
        <v/>
      </c>
    </row>
    <row r="9">
      <c r="A9" t="str">
        <v>2026-08-01</v>
      </c>
      <c r="B9" t="str">
        <v>FAC-MYFRENCH-2026-08</v>
      </c>
      <c r="C9" t="str">
        <v/>
      </c>
      <c r="D9">
        <v>0</v>
      </c>
      <c r="E9">
        <f>E8+D9-C9</f>
      </c>
      <c r="F9">
        <f>IF(E9&lt;=0,"⚠ SOLDE ÉPUISÉ — faire verser 500 €","")</f>
      </c>
      <c r="G9" t="str">
        <v>Non</v>
      </c>
      <c r="H9">
        <f>IF(C9&gt;500,"⚠ Facture &gt; 500 € — à relancer","")</f>
      </c>
      <c r="I9">
        <f>SUM($C$2:$C$120)-SUMIF($G$2:$G$120,"Oui",$C$2:$C$120)</f>
      </c>
      <c r="J9">
        <f>IF(I9&gt;500,"⚠ ENVOYER MESSAGE PAIEMENT","")</f>
      </c>
      <c r="K9" t="str">
        <v>Non</v>
      </c>
      <c r="L9" t="str">
        <v/>
      </c>
    </row>
    <row r="10">
      <c r="A10" t="str">
        <v>2026-09-01</v>
      </c>
      <c r="B10" t="str">
        <v>FAC-MYFRENCH-2026-09</v>
      </c>
      <c r="C10" t="str">
        <v/>
      </c>
      <c r="D10">
        <v>0</v>
      </c>
      <c r="E10">
        <f>E9+D10-C10</f>
      </c>
      <c r="F10">
        <f>IF(E10&lt;=0,"⚠ SOLDE ÉPUISÉ — faire verser 500 €","")</f>
      </c>
      <c r="G10" t="str">
        <v>Non</v>
      </c>
      <c r="H10">
        <f>IF(C10&gt;500,"⚠ Facture &gt; 500 € — à relancer","")</f>
      </c>
      <c r="I10">
        <f>SUM($C$2:$C$120)-SUMIF($G$2:$G$120,"Oui",$C$2:$C$120)</f>
      </c>
      <c r="J10">
        <f>IF(I10&gt;500,"⚠ ENVOYER MESSAGE PAIEMENT","")</f>
      </c>
      <c r="K10" t="str">
        <v>Non</v>
      </c>
      <c r="L10" t="str">
        <v/>
      </c>
    </row>
    <row r="11">
      <c r="A11" t="str">
        <v>2026-10-01</v>
      </c>
      <c r="B11" t="str">
        <v>FAC-MYFRENCH-2026-10</v>
      </c>
      <c r="C11" t="str">
        <v/>
      </c>
      <c r="D11">
        <v>0</v>
      </c>
      <c r="E11">
        <f>E10+D11-C11</f>
      </c>
      <c r="F11">
        <f>IF(E11&lt;=0,"⚠ SOLDE ÉPUISÉ — faire verser 500 €","")</f>
      </c>
      <c r="G11" t="str">
        <v>Non</v>
      </c>
      <c r="H11">
        <f>IF(C11&gt;500,"⚠ Facture &gt; 500 € — à relancer","")</f>
      </c>
      <c r="I11">
        <f>SUM($C$2:$C$120)-SUMIF($G$2:$G$120,"Oui",$C$2:$C$120)</f>
      </c>
      <c r="J11">
        <f>IF(I11&gt;500,"⚠ ENVOYER MESSAGE PAIEMENT","")</f>
      </c>
      <c r="K11" t="str">
        <v>Non</v>
      </c>
      <c r="L11" t="str">
        <v/>
      </c>
    </row>
    <row r="12">
      <c r="A12" t="str">
        <v>2026-11-01</v>
      </c>
      <c r="B12" t="str">
        <v>FAC-MYFRENCH-2026-11</v>
      </c>
      <c r="C12" t="str">
        <v/>
      </c>
      <c r="D12">
        <v>0</v>
      </c>
      <c r="E12">
        <f>E11+D12-C12</f>
      </c>
      <c r="F12">
        <f>IF(E12&lt;=0,"⚠ SOLDE ÉPUISÉ — faire verser 500 €","")</f>
      </c>
      <c r="G12" t="str">
        <v>Non</v>
      </c>
      <c r="H12">
        <f>IF(C12&gt;500,"⚠ Facture &gt; 500 € — à relancer","")</f>
      </c>
      <c r="I12">
        <f>SUM($C$2:$C$120)-SUMIF($G$2:$G$120,"Oui",$C$2:$C$120)</f>
      </c>
      <c r="J12">
        <f>IF(I12&gt;500,"⚠ ENVOYER MESSAGE PAIEMENT","")</f>
      </c>
      <c r="K12" t="str">
        <v>Non</v>
      </c>
      <c r="L12" t="str">
        <v/>
      </c>
    </row>
    <row r="13">
      <c r="A13" t="str">
        <v>2026-12-01</v>
      </c>
      <c r="B13" t="str">
        <v>FAC-MYFRENCH-2026-12</v>
      </c>
      <c r="C13" t="str">
        <v/>
      </c>
      <c r="D13">
        <v>0</v>
      </c>
      <c r="E13">
        <f>E12+D13-C13</f>
      </c>
      <c r="F13">
        <f>IF(E13&lt;=0,"⚠ SOLDE ÉPUISÉ — faire verser 500 €","")</f>
      </c>
      <c r="G13" t="str">
        <v>Non</v>
      </c>
      <c r="H13">
        <f>IF(C13&gt;500,"⚠ Facture &gt; 500 € — à relancer","")</f>
      </c>
      <c r="I13">
        <f>SUM($C$2:$C$120)-SUMIF($G$2:$G$120,"Oui",$C$2:$C$120)</f>
      </c>
      <c r="J13">
        <f>IF(I13&gt;500,"⚠ ENVOYER MESSAGE PAIEMENT","")</f>
      </c>
      <c r="K13" t="str">
        <v>Non</v>
      </c>
      <c r="L13" t="str">
        <v/>
      </c>
    </row>
    <row r="14">
      <c r="A14" t="str">
        <v/>
      </c>
      <c r="B14" t="str">
        <v/>
      </c>
      <c r="C14" t="str">
        <v/>
      </c>
      <c r="D14">
        <v>0</v>
      </c>
      <c r="E14">
        <f>E13+D14-C14</f>
      </c>
      <c r="F14">
        <f>IF(E14&lt;=0,"⚠ SOLDE ÉPUISÉ — faire verser 500 €","")</f>
      </c>
      <c r="G14" t="str">
        <v>Non</v>
      </c>
      <c r="H14">
        <f>IF(C14&gt;500,"⚠ Facture &gt; 500 € — à relancer","")</f>
      </c>
      <c r="I14">
        <f>SUM($C$2:$C$120)-SUMIF($G$2:$G$120,"Oui",$C$2:$C$120)</f>
      </c>
      <c r="J14">
        <f>IF(I14&gt;500,"⚠ ENVOYER MESSAGE PAIEMENT","")</f>
      </c>
      <c r="K14" t="str">
        <v>Non</v>
      </c>
      <c r="L14" t="str">
        <v/>
      </c>
    </row>
    <row r="15">
      <c r="A15" t="str">
        <v/>
      </c>
      <c r="B15" t="str">
        <v/>
      </c>
      <c r="C15" t="str">
        <v/>
      </c>
      <c r="D15">
        <v>0</v>
      </c>
      <c r="E15">
        <f>E14+D15-C15</f>
      </c>
      <c r="F15">
        <f>IF(E15&lt;=0,"⚠ SOLDE ÉPUISÉ — faire verser 500 €","")</f>
      </c>
      <c r="G15" t="str">
        <v>Non</v>
      </c>
      <c r="H15">
        <f>IF(C15&gt;500,"⚠ Facture &gt; 500 € — à relancer","")</f>
      </c>
      <c r="I15">
        <f>SUM($C$2:$C$120)-SUMIF($G$2:$G$120,"Oui",$C$2:$C$120)</f>
      </c>
      <c r="J15">
        <f>IF(I15&gt;500,"⚠ ENVOYER MESSAGE PAIEMENT","")</f>
      </c>
      <c r="K15" t="str">
        <v>Non</v>
      </c>
      <c r="L15" t="str">
        <v/>
      </c>
    </row>
    <row r="16">
      <c r="A16" t="str">
        <v/>
      </c>
      <c r="B16" t="str">
        <v/>
      </c>
      <c r="C16" t="str">
        <v/>
      </c>
      <c r="D16">
        <v>0</v>
      </c>
      <c r="E16">
        <f>E15+D16-C16</f>
      </c>
      <c r="F16">
        <f>IF(E16&lt;=0,"⚠ SOLDE ÉPUISÉ — faire verser 500 €","")</f>
      </c>
      <c r="G16" t="str">
        <v>Non</v>
      </c>
      <c r="H16">
        <f>IF(C16&gt;500,"⚠ Facture &gt; 500 € — à relancer","")</f>
      </c>
      <c r="I16">
        <f>SUM($C$2:$C$120)-SUMIF($G$2:$G$120,"Oui",$C$2:$C$120)</f>
      </c>
      <c r="J16">
        <f>IF(I16&gt;500,"⚠ ENVOYER MESSAGE PAIEMENT","")</f>
      </c>
      <c r="K16" t="str">
        <v>Non</v>
      </c>
      <c r="L16" t="str">
        <v/>
      </c>
    </row>
    <row r="17">
      <c r="A17" t="str">
        <v/>
      </c>
      <c r="B17" t="str">
        <v/>
      </c>
      <c r="C17" t="str">
        <v/>
      </c>
      <c r="D17">
        <v>0</v>
      </c>
      <c r="E17">
        <f>E16+D17-C17</f>
      </c>
      <c r="F17">
        <f>IF(E17&lt;=0,"⚠ SOLDE ÉPUISÉ — faire verser 500 €","")</f>
      </c>
      <c r="G17" t="str">
        <v>Non</v>
      </c>
      <c r="H17">
        <f>IF(C17&gt;500,"⚠ Facture &gt; 500 € — à relancer","")</f>
      </c>
      <c r="I17">
        <f>SUM($C$2:$C$120)-SUMIF($G$2:$G$120,"Oui",$C$2:$C$120)</f>
      </c>
      <c r="J17">
        <f>IF(I17&gt;500,"⚠ ENVOYER MESSAGE PAIEMENT","")</f>
      </c>
      <c r="K17" t="str">
        <v>Non</v>
      </c>
      <c r="L17" t="str">
        <v/>
      </c>
    </row>
    <row r="18">
      <c r="A18" t="str">
        <v/>
      </c>
      <c r="B18" t="str">
        <v/>
      </c>
      <c r="C18" t="str">
        <v/>
      </c>
      <c r="D18">
        <v>0</v>
      </c>
      <c r="E18">
        <f>E17+D18-C18</f>
      </c>
      <c r="F18">
        <f>IF(E18&lt;=0,"⚠ SOLDE ÉPUISÉ — faire verser 500 €","")</f>
      </c>
      <c r="G18" t="str">
        <v>Non</v>
      </c>
      <c r="H18">
        <f>IF(C18&gt;500,"⚠ Facture &gt; 500 € — à relancer","")</f>
      </c>
      <c r="I18">
        <f>SUM($C$2:$C$120)-SUMIF($G$2:$G$120,"Oui",$C$2:$C$120)</f>
      </c>
      <c r="J18">
        <f>IF(I18&gt;500,"⚠ ENVOYER MESSAGE PAIEMENT","")</f>
      </c>
      <c r="K18" t="str">
        <v>Non</v>
      </c>
      <c r="L18" t="str">
        <v/>
      </c>
    </row>
    <row r="19">
      <c r="A19" t="str">
        <v/>
      </c>
      <c r="B19" t="str">
        <v/>
      </c>
      <c r="C19" t="str">
        <v/>
      </c>
      <c r="D19">
        <v>0</v>
      </c>
      <c r="E19">
        <f>E18+D19-C19</f>
      </c>
      <c r="F19">
        <f>IF(E19&lt;=0,"⚠ SOLDE ÉPUISÉ — faire verser 500 €","")</f>
      </c>
      <c r="G19" t="str">
        <v>Non</v>
      </c>
      <c r="H19">
        <f>IF(C19&gt;500,"⚠ Facture &gt; 500 € — à relancer","")</f>
      </c>
      <c r="I19">
        <f>SUM($C$2:$C$120)-SUMIF($G$2:$G$120,"Oui",$C$2:$C$120)</f>
      </c>
      <c r="J19">
        <f>IF(I19&gt;500,"⚠ ENVOYER MESSAGE PAIEMENT","")</f>
      </c>
      <c r="K19" t="str">
        <v>Non</v>
      </c>
      <c r="L19" t="str">
        <v/>
      </c>
    </row>
    <row r="20">
      <c r="A20" t="str">
        <v/>
      </c>
      <c r="B20" t="str">
        <v/>
      </c>
      <c r="C20" t="str">
        <v/>
      </c>
      <c r="D20">
        <v>0</v>
      </c>
      <c r="E20">
        <f>E19+D20-C20</f>
      </c>
      <c r="F20">
        <f>IF(E20&lt;=0,"⚠ SOLDE ÉPUISÉ — faire verser 500 €","")</f>
      </c>
      <c r="G20" t="str">
        <v>Non</v>
      </c>
      <c r="H20">
        <f>IF(C20&gt;500,"⚠ Facture &gt; 500 € — à relancer","")</f>
      </c>
      <c r="I20">
        <f>SUM($C$2:$C$120)-SUMIF($G$2:$G$120,"Oui",$C$2:$C$120)</f>
      </c>
      <c r="J20">
        <f>IF(I20&gt;500,"⚠ ENVOYER MESSAGE PAIEMENT","")</f>
      </c>
      <c r="K20" t="str">
        <v>Non</v>
      </c>
      <c r="L20" t="str">
        <v/>
      </c>
    </row>
    <row r="21">
      <c r="A21" t="str">
        <v/>
      </c>
      <c r="B21" t="str">
        <v/>
      </c>
      <c r="C21" t="str">
        <v/>
      </c>
      <c r="D21">
        <v>0</v>
      </c>
      <c r="E21">
        <f>E20+D21-C21</f>
      </c>
      <c r="F21">
        <f>IF(E21&lt;=0,"⚠ SOLDE ÉPUISÉ — faire verser 500 €","")</f>
      </c>
      <c r="G21" t="str">
        <v>Non</v>
      </c>
      <c r="H21">
        <f>IF(C21&gt;500,"⚠ Facture &gt; 500 € — à relancer","")</f>
      </c>
      <c r="I21">
        <f>SUM($C$2:$C$120)-SUMIF($G$2:$G$120,"Oui",$C$2:$C$120)</f>
      </c>
      <c r="J21">
        <f>IF(I21&gt;500,"⚠ ENVOYER MESSAGE PAIEMENT","")</f>
      </c>
      <c r="K21" t="str">
        <v>Non</v>
      </c>
      <c r="L21" t="str">
        <v/>
      </c>
    </row>
    <row r="22">
      <c r="A22" t="str">
        <v/>
      </c>
      <c r="B22" t="str">
        <v/>
      </c>
      <c r="C22" t="str">
        <v/>
      </c>
      <c r="D22">
        <v>0</v>
      </c>
      <c r="E22">
        <f>E21+D22-C22</f>
      </c>
      <c r="F22">
        <f>IF(E22&lt;=0,"⚠ SOLDE ÉPUISÉ — faire verser 500 €","")</f>
      </c>
      <c r="G22" t="str">
        <v>Non</v>
      </c>
      <c r="H22">
        <f>IF(C22&gt;500,"⚠ Facture &gt; 500 € — à relancer","")</f>
      </c>
      <c r="I22">
        <f>SUM($C$2:$C$120)-SUMIF($G$2:$G$120,"Oui",$C$2:$C$120)</f>
      </c>
      <c r="J22">
        <f>IF(I22&gt;500,"⚠ ENVOYER MESSAGE PAIEMENT","")</f>
      </c>
      <c r="K22" t="str">
        <v>Non</v>
      </c>
      <c r="L22" t="str">
        <v/>
      </c>
    </row>
    <row r="23">
      <c r="A23" t="str">
        <v/>
      </c>
      <c r="B23" t="str">
        <v/>
      </c>
      <c r="C23" t="str">
        <v/>
      </c>
      <c r="D23">
        <v>0</v>
      </c>
      <c r="E23">
        <f>E22+D23-C23</f>
      </c>
      <c r="F23">
        <f>IF(E23&lt;=0,"⚠ SOLDE ÉPUISÉ — faire verser 500 €","")</f>
      </c>
      <c r="G23" t="str">
        <v>Non</v>
      </c>
      <c r="H23">
        <f>IF(C23&gt;500,"⚠ Facture &gt; 500 € — à relancer","")</f>
      </c>
      <c r="I23">
        <f>SUM($C$2:$C$120)-SUMIF($G$2:$G$120,"Oui",$C$2:$C$120)</f>
      </c>
      <c r="J23">
        <f>IF(I23&gt;500,"⚠ ENVOYER MESSAGE PAIEMENT","")</f>
      </c>
      <c r="K23" t="str">
        <v>Non</v>
      </c>
      <c r="L23" t="str">
        <v/>
      </c>
    </row>
    <row r="24">
      <c r="A24" t="str">
        <v/>
      </c>
      <c r="B24" t="str">
        <v/>
      </c>
      <c r="C24" t="str">
        <v/>
      </c>
      <c r="D24">
        <v>0</v>
      </c>
      <c r="E24">
        <f>E23+D24-C24</f>
      </c>
      <c r="F24">
        <f>IF(E24&lt;=0,"⚠ SOLDE ÉPUISÉ — faire verser 500 €","")</f>
      </c>
      <c r="G24" t="str">
        <v>Non</v>
      </c>
      <c r="H24">
        <f>IF(C24&gt;500,"⚠ Facture &gt; 500 € — à relancer","")</f>
      </c>
      <c r="I24">
        <f>SUM($C$2:$C$120)-SUMIF($G$2:$G$120,"Oui",$C$2:$C$120)</f>
      </c>
      <c r="J24">
        <f>IF(I24&gt;500,"⚠ ENVOYER MESSAGE PAIEMENT","")</f>
      </c>
      <c r="K24" t="str">
        <v>Non</v>
      </c>
      <c r="L24" t="str">
        <v/>
      </c>
    </row>
    <row r="25">
      <c r="A25" t="str">
        <v/>
      </c>
      <c r="B25" t="str">
        <v/>
      </c>
      <c r="C25" t="str">
        <v/>
      </c>
      <c r="D25">
        <v>0</v>
      </c>
      <c r="E25">
        <f>E24+D25-C25</f>
      </c>
      <c r="F25">
        <f>IF(E25&lt;=0,"⚠ SOLDE ÉPUISÉ — faire verser 500 €","")</f>
      </c>
      <c r="G25" t="str">
        <v>Non</v>
      </c>
      <c r="H25">
        <f>IF(C25&gt;500,"⚠ Facture &gt; 500 € — à relancer","")</f>
      </c>
      <c r="I25">
        <f>SUM($C$2:$C$120)-SUMIF($G$2:$G$120,"Oui",$C$2:$C$120)</f>
      </c>
      <c r="J25">
        <f>IF(I25&gt;500,"⚠ ENVOYER MESSAGE PAIEMENT","")</f>
      </c>
      <c r="K25" t="str">
        <v>Non</v>
      </c>
      <c r="L25" t="str">
        <v/>
      </c>
    </row>
    <row r="26">
      <c r="A26" t="str">
        <v/>
      </c>
      <c r="B26" t="str">
        <v/>
      </c>
      <c r="C26" t="str">
        <v/>
      </c>
      <c r="D26">
        <v>0</v>
      </c>
      <c r="E26">
        <f>E25+D26-C26</f>
      </c>
      <c r="F26">
        <f>IF(E26&lt;=0,"⚠ SOLDE ÉPUISÉ — faire verser 500 €","")</f>
      </c>
      <c r="G26" t="str">
        <v>Non</v>
      </c>
      <c r="H26">
        <f>IF(C26&gt;500,"⚠ Facture &gt; 500 € — à relancer","")</f>
      </c>
      <c r="I26">
        <f>SUM($C$2:$C$120)-SUMIF($G$2:$G$120,"Oui",$C$2:$C$120)</f>
      </c>
      <c r="J26">
        <f>IF(I26&gt;500,"⚠ ENVOYER MESSAGE PAIEMENT","")</f>
      </c>
      <c r="K26" t="str">
        <v>Non</v>
      </c>
      <c r="L26" t="str">
        <v/>
      </c>
    </row>
    <row r="27">
      <c r="A27" t="str">
        <v/>
      </c>
      <c r="B27" t="str">
        <v/>
      </c>
      <c r="C27" t="str">
        <v/>
      </c>
      <c r="D27">
        <v>0</v>
      </c>
      <c r="E27">
        <f>E26+D27-C27</f>
      </c>
      <c r="F27">
        <f>IF(E27&lt;=0,"⚠ SOLDE ÉPUISÉ — faire verser 500 €","")</f>
      </c>
      <c r="G27" t="str">
        <v>Non</v>
      </c>
      <c r="H27">
        <f>IF(C27&gt;500,"⚠ Facture &gt; 500 € — à relancer","")</f>
      </c>
      <c r="I27">
        <f>SUM($C$2:$C$120)-SUMIF($G$2:$G$120,"Oui",$C$2:$C$120)</f>
      </c>
      <c r="J27">
        <f>IF(I27&gt;500,"⚠ ENVOYER MESSAGE PAIEMENT","")</f>
      </c>
      <c r="K27" t="str">
        <v>Non</v>
      </c>
      <c r="L27" t="str">
        <v/>
      </c>
    </row>
    <row r="28">
      <c r="A28" t="str">
        <v/>
      </c>
      <c r="B28" t="str">
        <v/>
      </c>
      <c r="C28" t="str">
        <v/>
      </c>
      <c r="D28">
        <v>0</v>
      </c>
      <c r="E28">
        <f>E27+D28-C28</f>
      </c>
      <c r="F28">
        <f>IF(E28&lt;=0,"⚠ SOLDE ÉPUISÉ — faire verser 500 €","")</f>
      </c>
      <c r="G28" t="str">
        <v>Non</v>
      </c>
      <c r="H28">
        <f>IF(C28&gt;500,"⚠ Facture &gt; 500 € — à relancer","")</f>
      </c>
      <c r="I28">
        <f>SUM($C$2:$C$120)-SUMIF($G$2:$G$120,"Oui",$C$2:$C$120)</f>
      </c>
      <c r="J28">
        <f>IF(I28&gt;500,"⚠ ENVOYER MESSAGE PAIEMENT","")</f>
      </c>
      <c r="K28" t="str">
        <v>Non</v>
      </c>
      <c r="L28" t="str">
        <v/>
      </c>
    </row>
    <row r="29">
      <c r="A29" t="str">
        <v/>
      </c>
      <c r="B29" t="str">
        <v/>
      </c>
      <c r="C29" t="str">
        <v/>
      </c>
      <c r="D29">
        <v>0</v>
      </c>
      <c r="E29">
        <f>E28+D29-C29</f>
      </c>
      <c r="F29">
        <f>IF(E29&lt;=0,"⚠ SOLDE ÉPUISÉ — faire verser 500 €","")</f>
      </c>
      <c r="G29" t="str">
        <v>Non</v>
      </c>
      <c r="H29">
        <f>IF(C29&gt;500,"⚠ Facture &gt; 500 € — à relancer","")</f>
      </c>
      <c r="I29">
        <f>SUM($C$2:$C$120)-SUMIF($G$2:$G$120,"Oui",$C$2:$C$120)</f>
      </c>
      <c r="J29">
        <f>IF(I29&gt;500,"⚠ ENVOYER MESSAGE PAIEMENT","")</f>
      </c>
      <c r="K29" t="str">
        <v>Non</v>
      </c>
      <c r="L29" t="str">
        <v/>
      </c>
    </row>
    <row r="30">
      <c r="A30" t="str">
        <v/>
      </c>
      <c r="B30" t="str">
        <v/>
      </c>
      <c r="C30" t="str">
        <v/>
      </c>
      <c r="D30">
        <v>0</v>
      </c>
      <c r="E30">
        <f>E29+D30-C30</f>
      </c>
      <c r="F30">
        <f>IF(E30&lt;=0,"⚠ SOLDE ÉPUISÉ — faire verser 500 €","")</f>
      </c>
      <c r="G30" t="str">
        <v>Non</v>
      </c>
      <c r="H30">
        <f>IF(C30&gt;500,"⚠ Facture &gt; 500 € — à relancer","")</f>
      </c>
      <c r="I30">
        <f>SUM($C$2:$C$120)-SUMIF($G$2:$G$120,"Oui",$C$2:$C$120)</f>
      </c>
      <c r="J30">
        <f>IF(I30&gt;500,"⚠ ENVOYER MESSAGE PAIEMENT","")</f>
      </c>
      <c r="K30" t="str">
        <v>Non</v>
      </c>
      <c r="L30" t="str">
        <v/>
      </c>
    </row>
    <row r="31">
      <c r="A31" t="str">
        <v/>
      </c>
      <c r="B31" t="str">
        <v/>
      </c>
      <c r="C31" t="str">
        <v/>
      </c>
      <c r="D31">
        <v>0</v>
      </c>
      <c r="E31">
        <f>E30+D31-C31</f>
      </c>
      <c r="F31">
        <f>IF(E31&lt;=0,"⚠ SOLDE ÉPUISÉ — faire verser 500 €","")</f>
      </c>
      <c r="G31" t="str">
        <v>Non</v>
      </c>
      <c r="H31">
        <f>IF(C31&gt;500,"⚠ Facture &gt; 500 € — à relancer","")</f>
      </c>
      <c r="I31">
        <f>SUM($C$2:$C$120)-SUMIF($G$2:$G$120,"Oui",$C$2:$C$120)</f>
      </c>
      <c r="J31">
        <f>IF(I31&gt;500,"⚠ ENVOYER MESSAGE PAIEMENT","")</f>
      </c>
      <c r="K31" t="str">
        <v>Non</v>
      </c>
      <c r="L31" t="str">
        <v/>
      </c>
    </row>
    <row r="32">
      <c r="A32" t="str">
        <v/>
      </c>
      <c r="B32" t="str">
        <v/>
      </c>
      <c r="C32" t="str">
        <v/>
      </c>
      <c r="D32">
        <v>0</v>
      </c>
      <c r="E32">
        <f>E31+D32-C32</f>
      </c>
      <c r="F32">
        <f>IF(E32&lt;=0,"⚠ SOLDE ÉPUISÉ — faire verser 500 €","")</f>
      </c>
      <c r="G32" t="str">
        <v>Non</v>
      </c>
      <c r="H32">
        <f>IF(C32&gt;500,"⚠ Facture &gt; 500 € — à relancer","")</f>
      </c>
      <c r="I32">
        <f>SUM($C$2:$C$120)-SUMIF($G$2:$G$120,"Oui",$C$2:$C$120)</f>
      </c>
      <c r="J32">
        <f>IF(I32&gt;500,"⚠ ENVOYER MESSAGE PAIEMENT","")</f>
      </c>
      <c r="K32" t="str">
        <v>Non</v>
      </c>
      <c r="L32" t="str">
        <v/>
      </c>
    </row>
    <row r="33">
      <c r="A33" t="str">
        <v/>
      </c>
      <c r="B33" t="str">
        <v/>
      </c>
      <c r="C33" t="str">
        <v/>
      </c>
      <c r="D33">
        <v>0</v>
      </c>
      <c r="E33">
        <f>E32+D33-C33</f>
      </c>
      <c r="F33">
        <f>IF(E33&lt;=0,"⚠ SOLDE ÉPUISÉ — faire verser 500 €","")</f>
      </c>
      <c r="G33" t="str">
        <v>Non</v>
      </c>
      <c r="H33">
        <f>IF(C33&gt;500,"⚠ Facture &gt; 500 € — à relancer","")</f>
      </c>
      <c r="I33">
        <f>SUM($C$2:$C$120)-SUMIF($G$2:$G$120,"Oui",$C$2:$C$120)</f>
      </c>
      <c r="J33">
        <f>IF(I33&gt;500,"⚠ ENVOYER MESSAGE PAIEMENT","")</f>
      </c>
      <c r="K33" t="str">
        <v>Non</v>
      </c>
      <c r="L33" t="str">
        <v/>
      </c>
    </row>
    <row r="34">
      <c r="A34" t="str">
        <v/>
      </c>
      <c r="B34" t="str">
        <v/>
      </c>
      <c r="C34" t="str">
        <v/>
      </c>
      <c r="D34">
        <v>0</v>
      </c>
      <c r="E34">
        <f>E33+D34-C34</f>
      </c>
      <c r="F34">
        <f>IF(E34&lt;=0,"⚠ SOLDE ÉPUISÉ — faire verser 500 €","")</f>
      </c>
      <c r="G34" t="str">
        <v>Non</v>
      </c>
      <c r="H34">
        <f>IF(C34&gt;500,"⚠ Facture &gt; 500 € — à relancer","")</f>
      </c>
      <c r="I34">
        <f>SUM($C$2:$C$120)-SUMIF($G$2:$G$120,"Oui",$C$2:$C$120)</f>
      </c>
      <c r="J34">
        <f>IF(I34&gt;500,"⚠ ENVOYER MESSAGE PAIEMENT","")</f>
      </c>
      <c r="K34" t="str">
        <v>Non</v>
      </c>
      <c r="L34" t="str">
        <v/>
      </c>
    </row>
    <row r="35">
      <c r="A35" t="str">
        <v/>
      </c>
      <c r="B35" t="str">
        <v/>
      </c>
      <c r="C35" t="str">
        <v/>
      </c>
      <c r="D35">
        <v>0</v>
      </c>
      <c r="E35">
        <f>E34+D35-C35</f>
      </c>
      <c r="F35">
        <f>IF(E35&lt;=0,"⚠ SOLDE ÉPUISÉ — faire verser 500 €","")</f>
      </c>
      <c r="G35" t="str">
        <v>Non</v>
      </c>
      <c r="H35">
        <f>IF(C35&gt;500,"⚠ Facture &gt; 500 € — à relancer","")</f>
      </c>
      <c r="I35">
        <f>SUM($C$2:$C$120)-SUMIF($G$2:$G$120,"Oui",$C$2:$C$120)</f>
      </c>
      <c r="J35">
        <f>IF(I35&gt;500,"⚠ ENVOYER MESSAGE PAIEMENT","")</f>
      </c>
      <c r="K35" t="str">
        <v>Non</v>
      </c>
      <c r="L35" t="str">
        <v/>
      </c>
    </row>
    <row r="36">
      <c r="A36" t="str">
        <v/>
      </c>
      <c r="B36" t="str">
        <v/>
      </c>
      <c r="C36" t="str">
        <v/>
      </c>
      <c r="D36">
        <v>0</v>
      </c>
      <c r="E36">
        <f>E35+D36-C36</f>
      </c>
      <c r="F36">
        <f>IF(E36&lt;=0,"⚠ SOLDE ÉPUISÉ — faire verser 500 €","")</f>
      </c>
      <c r="G36" t="str">
        <v>Non</v>
      </c>
      <c r="H36">
        <f>IF(C36&gt;500,"⚠ Facture &gt; 500 € — à relancer","")</f>
      </c>
      <c r="I36">
        <f>SUM($C$2:$C$120)-SUMIF($G$2:$G$120,"Oui",$C$2:$C$120)</f>
      </c>
      <c r="J36">
        <f>IF(I36&gt;500,"⚠ ENVOYER MESSAGE PAIEMENT","")</f>
      </c>
      <c r="K36" t="str">
        <v>Non</v>
      </c>
      <c r="L36" t="str">
        <v/>
      </c>
    </row>
    <row r="37">
      <c r="A37" t="str">
        <v/>
      </c>
      <c r="B37" t="str">
        <v/>
      </c>
      <c r="C37" t="str">
        <v/>
      </c>
      <c r="D37">
        <v>0</v>
      </c>
      <c r="E37">
        <f>E36+D37-C37</f>
      </c>
      <c r="F37">
        <f>IF(E37&lt;=0,"⚠ SOLDE ÉPUISÉ — faire verser 500 €","")</f>
      </c>
      <c r="G37" t="str">
        <v>Non</v>
      </c>
      <c r="H37">
        <f>IF(C37&gt;500,"⚠ Facture &gt; 500 € — à relancer","")</f>
      </c>
      <c r="I37">
        <f>SUM($C$2:$C$120)-SUMIF($G$2:$G$120,"Oui",$C$2:$C$120)</f>
      </c>
      <c r="J37">
        <f>IF(I37&gt;500,"⚠ ENVOYER MESSAGE PAIEMENT","")</f>
      </c>
      <c r="K37" t="str">
        <v>Non</v>
      </c>
      <c r="L37" t="str">
        <v/>
      </c>
    </row>
    <row r="38">
      <c r="A38" t="str">
        <v/>
      </c>
      <c r="B38" t="str">
        <v/>
      </c>
      <c r="C38" t="str">
        <v/>
      </c>
      <c r="D38">
        <v>0</v>
      </c>
      <c r="E38">
        <f>E37+D38-C38</f>
      </c>
      <c r="F38">
        <f>IF(E38&lt;=0,"⚠ SOLDE ÉPUISÉ — faire verser 500 €","")</f>
      </c>
      <c r="G38" t="str">
        <v>Non</v>
      </c>
      <c r="H38">
        <f>IF(C38&gt;500,"⚠ Facture &gt; 500 € — à relancer","")</f>
      </c>
      <c r="I38">
        <f>SUM($C$2:$C$120)-SUMIF($G$2:$G$120,"Oui",$C$2:$C$120)</f>
      </c>
      <c r="J38">
        <f>IF(I38&gt;500,"⚠ ENVOYER MESSAGE PAIEMENT","")</f>
      </c>
      <c r="K38" t="str">
        <v>Non</v>
      </c>
      <c r="L38" t="str">
        <v/>
      </c>
    </row>
    <row r="39">
      <c r="A39" t="str">
        <v/>
      </c>
      <c r="B39" t="str">
        <v/>
      </c>
      <c r="C39" t="str">
        <v/>
      </c>
      <c r="D39">
        <v>0</v>
      </c>
      <c r="E39">
        <f>E38+D39-C39</f>
      </c>
      <c r="F39">
        <f>IF(E39&lt;=0,"⚠ SOLDE ÉPUISÉ — faire verser 500 €","")</f>
      </c>
      <c r="G39" t="str">
        <v>Non</v>
      </c>
      <c r="H39">
        <f>IF(C39&gt;500,"⚠ Facture &gt; 500 € — à relancer","")</f>
      </c>
      <c r="I39">
        <f>SUM($C$2:$C$120)-SUMIF($G$2:$G$120,"Oui",$C$2:$C$120)</f>
      </c>
      <c r="J39">
        <f>IF(I39&gt;500,"⚠ ENVOYER MESSAGE PAIEMENT","")</f>
      </c>
      <c r="K39" t="str">
        <v>Non</v>
      </c>
      <c r="L39" t="str">
        <v/>
      </c>
    </row>
    <row r="40">
      <c r="A40" t="str">
        <v/>
      </c>
      <c r="B40" t="str">
        <v/>
      </c>
      <c r="C40" t="str">
        <v/>
      </c>
      <c r="D40">
        <v>0</v>
      </c>
      <c r="E40">
        <f>E39+D40-C40</f>
      </c>
      <c r="F40">
        <f>IF(E40&lt;=0,"⚠ SOLDE ÉPUISÉ — faire verser 500 €","")</f>
      </c>
      <c r="G40" t="str">
        <v>Non</v>
      </c>
      <c r="H40">
        <f>IF(C40&gt;500,"⚠ Facture &gt; 500 € — à relancer","")</f>
      </c>
      <c r="I40">
        <f>SUM($C$2:$C$120)-SUMIF($G$2:$G$120,"Oui",$C$2:$C$120)</f>
      </c>
      <c r="J40">
        <f>IF(I40&gt;500,"⚠ ENVOYER MESSAGE PAIEMENT","")</f>
      </c>
      <c r="K40" t="str">
        <v>Non</v>
      </c>
      <c r="L40" t="str">
        <v/>
      </c>
    </row>
    <row r="41">
      <c r="A41" t="str">
        <v/>
      </c>
      <c r="B41" t="str">
        <v/>
      </c>
      <c r="C41" t="str">
        <v/>
      </c>
      <c r="D41">
        <v>0</v>
      </c>
      <c r="E41">
        <f>E40+D41-C41</f>
      </c>
      <c r="F41">
        <f>IF(E41&lt;=0,"⚠ SOLDE ÉPUISÉ — faire verser 500 €","")</f>
      </c>
      <c r="G41" t="str">
        <v>Non</v>
      </c>
      <c r="H41">
        <f>IF(C41&gt;500,"⚠ Facture &gt; 500 € — à relancer","")</f>
      </c>
      <c r="I41">
        <f>SUM($C$2:$C$120)-SUMIF($G$2:$G$120,"Oui",$C$2:$C$120)</f>
      </c>
      <c r="J41">
        <f>IF(I41&gt;500,"⚠ ENVOYER MESSAGE PAIEMENT","")</f>
      </c>
      <c r="K41" t="str">
        <v>Non</v>
      </c>
      <c r="L41" t="str">
        <v/>
      </c>
    </row>
    <row r="42">
      <c r="A42" t="str">
        <v/>
      </c>
      <c r="B42" t="str">
        <v/>
      </c>
      <c r="C42" t="str">
        <v/>
      </c>
      <c r="D42">
        <v>0</v>
      </c>
      <c r="E42">
        <f>E41+D42-C42</f>
      </c>
      <c r="F42">
        <f>IF(E42&lt;=0,"⚠ SOLDE ÉPUISÉ — faire verser 500 €","")</f>
      </c>
      <c r="G42" t="str">
        <v>Non</v>
      </c>
      <c r="H42">
        <f>IF(C42&gt;500,"⚠ Facture &gt; 500 € — à relancer","")</f>
      </c>
      <c r="I42">
        <f>SUM($C$2:$C$120)-SUMIF($G$2:$G$120,"Oui",$C$2:$C$120)</f>
      </c>
      <c r="J42">
        <f>IF(I42&gt;500,"⚠ ENVOYER MESSAGE PAIEMENT","")</f>
      </c>
      <c r="K42" t="str">
        <v>Non</v>
      </c>
      <c r="L42" t="str">
        <v/>
      </c>
    </row>
    <row r="43">
      <c r="A43" t="str">
        <v/>
      </c>
      <c r="B43" t="str">
        <v/>
      </c>
      <c r="C43" t="str">
        <v/>
      </c>
      <c r="D43">
        <v>0</v>
      </c>
      <c r="E43">
        <f>E42+D43-C43</f>
      </c>
      <c r="F43">
        <f>IF(E43&lt;=0,"⚠ SOLDE ÉPUISÉ — faire verser 500 €","")</f>
      </c>
      <c r="G43" t="str">
        <v>Non</v>
      </c>
      <c r="H43">
        <f>IF(C43&gt;500,"⚠ Facture &gt; 500 € — à relancer","")</f>
      </c>
      <c r="I43">
        <f>SUM($C$2:$C$120)-SUMIF($G$2:$G$120,"Oui",$C$2:$C$120)</f>
      </c>
      <c r="J43">
        <f>IF(I43&gt;500,"⚠ ENVOYER MESSAGE PAIEMENT","")</f>
      </c>
      <c r="K43" t="str">
        <v>Non</v>
      </c>
      <c r="L43" t="str">
        <v/>
      </c>
    </row>
    <row r="44">
      <c r="A44" t="str">
        <v/>
      </c>
      <c r="B44" t="str">
        <v/>
      </c>
      <c r="C44" t="str">
        <v/>
      </c>
      <c r="D44">
        <v>0</v>
      </c>
      <c r="E44">
        <f>E43+D44-C44</f>
      </c>
      <c r="F44">
        <f>IF(E44&lt;=0,"⚠ SOLDE ÉPUISÉ — faire verser 500 €","")</f>
      </c>
      <c r="G44" t="str">
        <v>Non</v>
      </c>
      <c r="H44">
        <f>IF(C44&gt;500,"⚠ Facture &gt; 500 € — à relancer","")</f>
      </c>
      <c r="I44">
        <f>SUM($C$2:$C$120)-SUMIF($G$2:$G$120,"Oui",$C$2:$C$120)</f>
      </c>
      <c r="J44">
        <f>IF(I44&gt;500,"⚠ ENVOYER MESSAGE PAIEMENT","")</f>
      </c>
      <c r="K44" t="str">
        <v>Non</v>
      </c>
      <c r="L44" t="str">
        <v/>
      </c>
    </row>
    <row r="45">
      <c r="A45" t="str">
        <v/>
      </c>
      <c r="B45" t="str">
        <v/>
      </c>
      <c r="C45" t="str">
        <v/>
      </c>
      <c r="D45">
        <v>0</v>
      </c>
      <c r="E45">
        <f>E44+D45-C45</f>
      </c>
      <c r="F45">
        <f>IF(E45&lt;=0,"⚠ SOLDE ÉPUISÉ — faire verser 500 €","")</f>
      </c>
      <c r="G45" t="str">
        <v>Non</v>
      </c>
      <c r="H45">
        <f>IF(C45&gt;500,"⚠ Facture &gt; 500 € — à relancer","")</f>
      </c>
      <c r="I45">
        <f>SUM($C$2:$C$120)-SUMIF($G$2:$G$120,"Oui",$C$2:$C$120)</f>
      </c>
      <c r="J45">
        <f>IF(I45&gt;500,"⚠ ENVOYER MESSAGE PAIEMENT","")</f>
      </c>
      <c r="K45" t="str">
        <v>Non</v>
      </c>
      <c r="L45" t="str">
        <v/>
      </c>
    </row>
    <row r="46">
      <c r="A46" t="str">
        <v/>
      </c>
      <c r="B46" t="str">
        <v/>
      </c>
      <c r="C46" t="str">
        <v/>
      </c>
      <c r="D46">
        <v>0</v>
      </c>
      <c r="E46">
        <f>E45+D46-C46</f>
      </c>
      <c r="F46">
        <f>IF(E46&lt;=0,"⚠ SOLDE ÉPUISÉ — faire verser 500 €","")</f>
      </c>
      <c r="G46" t="str">
        <v>Non</v>
      </c>
      <c r="H46">
        <f>IF(C46&gt;500,"⚠ Facture &gt; 500 € — à relancer","")</f>
      </c>
      <c r="I46">
        <f>SUM($C$2:$C$120)-SUMIF($G$2:$G$120,"Oui",$C$2:$C$120)</f>
      </c>
      <c r="J46">
        <f>IF(I46&gt;500,"⚠ ENVOYER MESSAGE PAIEMENT","")</f>
      </c>
      <c r="K46" t="str">
        <v>Non</v>
      </c>
      <c r="L46" t="str">
        <v/>
      </c>
    </row>
    <row r="47">
      <c r="A47" t="str">
        <v/>
      </c>
      <c r="B47" t="str">
        <v/>
      </c>
      <c r="C47" t="str">
        <v/>
      </c>
      <c r="D47">
        <v>0</v>
      </c>
      <c r="E47">
        <f>E46+D47-C47</f>
      </c>
      <c r="F47">
        <f>IF(E47&lt;=0,"⚠ SOLDE ÉPUISÉ — faire verser 500 €","")</f>
      </c>
      <c r="G47" t="str">
        <v>Non</v>
      </c>
      <c r="H47">
        <f>IF(C47&gt;500,"⚠ Facture &gt; 500 € — à relancer","")</f>
      </c>
      <c r="I47">
        <f>SUM($C$2:$C$120)-SUMIF($G$2:$G$120,"Oui",$C$2:$C$120)</f>
      </c>
      <c r="J47">
        <f>IF(I47&gt;500,"⚠ ENVOYER MESSAGE PAIEMENT","")</f>
      </c>
      <c r="K47" t="str">
        <v>Non</v>
      </c>
      <c r="L47" t="str">
        <v/>
      </c>
    </row>
    <row r="48">
      <c r="A48" t="str">
        <v/>
      </c>
      <c r="B48" t="str">
        <v/>
      </c>
      <c r="C48" t="str">
        <v/>
      </c>
      <c r="D48">
        <v>0</v>
      </c>
      <c r="E48">
        <f>E47+D48-C48</f>
      </c>
      <c r="F48">
        <f>IF(E48&lt;=0,"⚠ SOLDE ÉPUISÉ — faire verser 500 €","")</f>
      </c>
      <c r="G48" t="str">
        <v>Non</v>
      </c>
      <c r="H48">
        <f>IF(C48&gt;500,"⚠ Facture &gt; 500 € — à relancer","")</f>
      </c>
      <c r="I48">
        <f>SUM($C$2:$C$120)-SUMIF($G$2:$G$120,"Oui",$C$2:$C$120)</f>
      </c>
      <c r="J48">
        <f>IF(I48&gt;500,"⚠ ENVOYER MESSAGE PAIEMENT","")</f>
      </c>
      <c r="K48" t="str">
        <v>Non</v>
      </c>
      <c r="L48" t="str">
        <v/>
      </c>
    </row>
    <row r="49">
      <c r="A49" t="str">
        <v/>
      </c>
      <c r="B49" t="str">
        <v/>
      </c>
      <c r="C49" t="str">
        <v/>
      </c>
      <c r="D49">
        <v>0</v>
      </c>
      <c r="E49">
        <f>E48+D49-C49</f>
      </c>
      <c r="F49">
        <f>IF(E49&lt;=0,"⚠ SOLDE ÉPUISÉ — faire verser 500 €","")</f>
      </c>
      <c r="G49" t="str">
        <v>Non</v>
      </c>
      <c r="H49">
        <f>IF(C49&gt;500,"⚠ Facture &gt; 500 € — à relancer","")</f>
      </c>
      <c r="I49">
        <f>SUM($C$2:$C$120)-SUMIF($G$2:$G$120,"Oui",$C$2:$C$120)</f>
      </c>
      <c r="J49">
        <f>IF(I49&gt;500,"⚠ ENVOYER MESSAGE PAIEMENT","")</f>
      </c>
      <c r="K49" t="str">
        <v>Non</v>
      </c>
      <c r="L49" t="str">
        <v/>
      </c>
    </row>
    <row r="50">
      <c r="A50" t="str">
        <v/>
      </c>
      <c r="B50" t="str">
        <v/>
      </c>
      <c r="C50" t="str">
        <v/>
      </c>
      <c r="D50">
        <v>0</v>
      </c>
      <c r="E50">
        <f>E49+D50-C50</f>
      </c>
      <c r="F50">
        <f>IF(E50&lt;=0,"⚠ SOLDE ÉPUISÉ — faire verser 500 €","")</f>
      </c>
      <c r="G50" t="str">
        <v>Non</v>
      </c>
      <c r="H50">
        <f>IF(C50&gt;500,"⚠ Facture &gt; 500 € — à relancer","")</f>
      </c>
      <c r="I50">
        <f>SUM($C$2:$C$120)-SUMIF($G$2:$G$120,"Oui",$C$2:$C$120)</f>
      </c>
      <c r="J50">
        <f>IF(I50&gt;500,"⚠ ENVOYER MESSAGE PAIEMENT","")</f>
      </c>
      <c r="K50" t="str">
        <v>Non</v>
      </c>
      <c r="L50" t="str">
        <v/>
      </c>
    </row>
    <row r="51">
      <c r="A51" t="str">
        <v/>
      </c>
      <c r="B51" t="str">
        <v/>
      </c>
      <c r="C51" t="str">
        <v/>
      </c>
      <c r="D51">
        <v>0</v>
      </c>
      <c r="E51">
        <f>E50+D51-C51</f>
      </c>
      <c r="F51">
        <f>IF(E51&lt;=0,"⚠ SOLDE ÉPUISÉ — faire verser 500 €","")</f>
      </c>
      <c r="G51" t="str">
        <v>Non</v>
      </c>
      <c r="H51">
        <f>IF(C51&gt;500,"⚠ Facture &gt; 500 € — à relancer","")</f>
      </c>
      <c r="I51">
        <f>SUM($C$2:$C$120)-SUMIF($G$2:$G$120,"Oui",$C$2:$C$120)</f>
      </c>
      <c r="J51">
        <f>IF(I51&gt;500,"⚠ ENVOYER MESSAGE PAIEMENT","")</f>
      </c>
      <c r="K51" t="str">
        <v>Non</v>
      </c>
      <c r="L51" t="str">
        <v/>
      </c>
    </row>
    <row r="52">
      <c r="A52" t="str">
        <v/>
      </c>
      <c r="B52" t="str">
        <v/>
      </c>
      <c r="C52" t="str">
        <v/>
      </c>
      <c r="D52">
        <v>0</v>
      </c>
      <c r="E52">
        <f>E51+D52-C52</f>
      </c>
      <c r="F52">
        <f>IF(E52&lt;=0,"⚠ SOLDE ÉPUISÉ — faire verser 500 €","")</f>
      </c>
      <c r="G52" t="str">
        <v>Non</v>
      </c>
      <c r="H52">
        <f>IF(C52&gt;500,"⚠ Facture &gt; 500 € — à relancer","")</f>
      </c>
      <c r="I52">
        <f>SUM($C$2:$C$120)-SUMIF($G$2:$G$120,"Oui",$C$2:$C$120)</f>
      </c>
      <c r="J52">
        <f>IF(I52&gt;500,"⚠ ENVOYER MESSAGE PAIEMENT","")</f>
      </c>
      <c r="K52" t="str">
        <v>Non</v>
      </c>
      <c r="L52" t="str">
        <v/>
      </c>
    </row>
    <row r="53">
      <c r="A53" t="str">
        <v/>
      </c>
      <c r="B53" t="str">
        <v/>
      </c>
      <c r="C53" t="str">
        <v/>
      </c>
      <c r="D53">
        <v>0</v>
      </c>
      <c r="E53">
        <f>E52+D53-C53</f>
      </c>
      <c r="F53">
        <f>IF(E53&lt;=0,"⚠ SOLDE ÉPUISÉ — faire verser 500 €","")</f>
      </c>
      <c r="G53" t="str">
        <v>Non</v>
      </c>
      <c r="H53">
        <f>IF(C53&gt;500,"⚠ Facture &gt; 500 € — à relancer","")</f>
      </c>
      <c r="I53">
        <f>SUM($C$2:$C$120)-SUMIF($G$2:$G$120,"Oui",$C$2:$C$120)</f>
      </c>
      <c r="J53">
        <f>IF(I53&gt;500,"⚠ ENVOYER MESSAGE PAIEMENT","")</f>
      </c>
      <c r="K53" t="str">
        <v>Non</v>
      </c>
      <c r="L53" t="str">
        <v/>
      </c>
    </row>
    <row r="54">
      <c r="A54" t="str">
        <v/>
      </c>
      <c r="B54" t="str">
        <v/>
      </c>
      <c r="C54" t="str">
        <v/>
      </c>
      <c r="D54">
        <v>0</v>
      </c>
      <c r="E54">
        <f>E53+D54-C54</f>
      </c>
      <c r="F54">
        <f>IF(E54&lt;=0,"⚠ SOLDE ÉPUISÉ — faire verser 500 €","")</f>
      </c>
      <c r="G54" t="str">
        <v>Non</v>
      </c>
      <c r="H54">
        <f>IF(C54&gt;500,"⚠ Facture &gt; 500 € — à relancer","")</f>
      </c>
      <c r="I54">
        <f>SUM($C$2:$C$120)-SUMIF($G$2:$G$120,"Oui",$C$2:$C$120)</f>
      </c>
      <c r="J54">
        <f>IF(I54&gt;500,"⚠ ENVOYER MESSAGE PAIEMENT","")</f>
      </c>
      <c r="K54" t="str">
        <v>Non</v>
      </c>
      <c r="L54" t="str">
        <v/>
      </c>
    </row>
    <row r="55">
      <c r="A55" t="str">
        <v/>
      </c>
      <c r="B55" t="str">
        <v/>
      </c>
      <c r="C55" t="str">
        <v/>
      </c>
      <c r="D55">
        <v>0</v>
      </c>
      <c r="E55">
        <f>E54+D55-C55</f>
      </c>
      <c r="F55">
        <f>IF(E55&lt;=0,"⚠ SOLDE ÉPUISÉ — faire verser 500 €","")</f>
      </c>
      <c r="G55" t="str">
        <v>Non</v>
      </c>
      <c r="H55">
        <f>IF(C55&gt;500,"⚠ Facture &gt; 500 € — à relancer","")</f>
      </c>
      <c r="I55">
        <f>SUM($C$2:$C$120)-SUMIF($G$2:$G$120,"Oui",$C$2:$C$120)</f>
      </c>
      <c r="J55">
        <f>IF(I55&gt;500,"⚠ ENVOYER MESSAGE PAIEMENT","")</f>
      </c>
      <c r="K55" t="str">
        <v>Non</v>
      </c>
      <c r="L55" t="str">
        <v/>
      </c>
    </row>
    <row r="56">
      <c r="A56" t="str">
        <v/>
      </c>
      <c r="B56" t="str">
        <v/>
      </c>
      <c r="C56" t="str">
        <v/>
      </c>
      <c r="D56">
        <v>0</v>
      </c>
      <c r="E56">
        <f>E55+D56-C56</f>
      </c>
      <c r="F56">
        <f>IF(E56&lt;=0,"⚠ SOLDE ÉPUISÉ — faire verser 500 €","")</f>
      </c>
      <c r="G56" t="str">
        <v>Non</v>
      </c>
      <c r="H56">
        <f>IF(C56&gt;500,"⚠ Facture &gt; 500 € — à relancer","")</f>
      </c>
      <c r="I56">
        <f>SUM($C$2:$C$120)-SUMIF($G$2:$G$120,"Oui",$C$2:$C$120)</f>
      </c>
      <c r="J56">
        <f>IF(I56&gt;500,"⚠ ENVOYER MESSAGE PAIEMENT","")</f>
      </c>
      <c r="K56" t="str">
        <v>Non</v>
      </c>
      <c r="L56" t="str">
        <v/>
      </c>
    </row>
    <row r="57">
      <c r="A57" t="str">
        <v/>
      </c>
      <c r="B57" t="str">
        <v/>
      </c>
      <c r="C57" t="str">
        <v/>
      </c>
      <c r="D57">
        <v>0</v>
      </c>
      <c r="E57">
        <f>E56+D57-C57</f>
      </c>
      <c r="F57">
        <f>IF(E57&lt;=0,"⚠ SOLDE ÉPUISÉ — faire verser 500 €","")</f>
      </c>
      <c r="G57" t="str">
        <v>Non</v>
      </c>
      <c r="H57">
        <f>IF(C57&gt;500,"⚠ Facture &gt; 500 € — à relancer","")</f>
      </c>
      <c r="I57">
        <f>SUM($C$2:$C$120)-SUMIF($G$2:$G$120,"Oui",$C$2:$C$120)</f>
      </c>
      <c r="J57">
        <f>IF(I57&gt;500,"⚠ ENVOYER MESSAGE PAIEMENT","")</f>
      </c>
      <c r="K57" t="str">
        <v>Non</v>
      </c>
      <c r="L57" t="str">
        <v/>
      </c>
    </row>
    <row r="58">
      <c r="A58" t="str">
        <v/>
      </c>
      <c r="B58" t="str">
        <v/>
      </c>
      <c r="C58" t="str">
        <v/>
      </c>
      <c r="D58">
        <v>0</v>
      </c>
      <c r="E58">
        <f>E57+D58-C58</f>
      </c>
      <c r="F58">
        <f>IF(E58&lt;=0,"⚠ SOLDE ÉPUISÉ — faire verser 500 €","")</f>
      </c>
      <c r="G58" t="str">
        <v>Non</v>
      </c>
      <c r="H58">
        <f>IF(C58&gt;500,"⚠ Facture &gt; 500 € — à relancer","")</f>
      </c>
      <c r="I58">
        <f>SUM($C$2:$C$120)-SUMIF($G$2:$G$120,"Oui",$C$2:$C$120)</f>
      </c>
      <c r="J58">
        <f>IF(I58&gt;500,"⚠ ENVOYER MESSAGE PAIEMENT","")</f>
      </c>
      <c r="K58" t="str">
        <v>Non</v>
      </c>
      <c r="L58" t="str">
        <v/>
      </c>
    </row>
    <row r="59">
      <c r="A59" t="str">
        <v/>
      </c>
      <c r="B59" t="str">
        <v/>
      </c>
      <c r="C59" t="str">
        <v/>
      </c>
      <c r="D59">
        <v>0</v>
      </c>
      <c r="E59">
        <f>E58+D59-C59</f>
      </c>
      <c r="F59">
        <f>IF(E59&lt;=0,"⚠ SOLDE ÉPUISÉ — faire verser 500 €","")</f>
      </c>
      <c r="G59" t="str">
        <v>Non</v>
      </c>
      <c r="H59">
        <f>IF(C59&gt;500,"⚠ Facture &gt; 500 € — à relancer","")</f>
      </c>
      <c r="I59">
        <f>SUM($C$2:$C$120)-SUMIF($G$2:$G$120,"Oui",$C$2:$C$120)</f>
      </c>
      <c r="J59">
        <f>IF(I59&gt;500,"⚠ ENVOYER MESSAGE PAIEMENT","")</f>
      </c>
      <c r="K59" t="str">
        <v>Non</v>
      </c>
      <c r="L59" t="str">
        <v/>
      </c>
    </row>
    <row r="60">
      <c r="A60" t="str">
        <v/>
      </c>
      <c r="B60" t="str">
        <v/>
      </c>
      <c r="C60" t="str">
        <v/>
      </c>
      <c r="D60">
        <v>0</v>
      </c>
      <c r="E60">
        <f>E59+D60-C60</f>
      </c>
      <c r="F60">
        <f>IF(E60&lt;=0,"⚠ SOLDE ÉPUISÉ — faire verser 500 €","")</f>
      </c>
      <c r="G60" t="str">
        <v>Non</v>
      </c>
      <c r="H60">
        <f>IF(C60&gt;500,"⚠ Facture &gt; 500 € — à relancer","")</f>
      </c>
      <c r="I60">
        <f>SUM($C$2:$C$120)-SUMIF($G$2:$G$120,"Oui",$C$2:$C$120)</f>
      </c>
      <c r="J60">
        <f>IF(I60&gt;500,"⚠ ENVOYER MESSAGE PAIEMENT","")</f>
      </c>
      <c r="K60" t="str">
        <v>Non</v>
      </c>
      <c r="L60" t="str">
        <v/>
      </c>
    </row>
    <row r="61">
      <c r="A61" t="str">
        <v/>
      </c>
      <c r="B61" t="str">
        <v/>
      </c>
      <c r="C61" t="str">
        <v/>
      </c>
      <c r="D61">
        <v>0</v>
      </c>
      <c r="E61">
        <f>E60+D61-C61</f>
      </c>
      <c r="F61">
        <f>IF(E61&lt;=0,"⚠ SOLDE ÉPUISÉ — faire verser 500 €","")</f>
      </c>
      <c r="G61" t="str">
        <v>Non</v>
      </c>
      <c r="H61">
        <f>IF(C61&gt;500,"⚠ Facture &gt; 500 € — à relancer","")</f>
      </c>
      <c r="I61">
        <f>SUM($C$2:$C$120)-SUMIF($G$2:$G$120,"Oui",$C$2:$C$120)</f>
      </c>
      <c r="J61">
        <f>IF(I61&gt;500,"⚠ ENVOYER MESSAGE PAIEMENT","")</f>
      </c>
      <c r="K61" t="str">
        <v>Non</v>
      </c>
      <c r="L61" t="str">
        <v/>
      </c>
    </row>
    <row r="62">
      <c r="A62" t="str">
        <v/>
      </c>
      <c r="B62" t="str">
        <v/>
      </c>
      <c r="C62" t="str">
        <v/>
      </c>
      <c r="D62">
        <v>0</v>
      </c>
      <c r="E62">
        <f>E61+D62-C62</f>
      </c>
      <c r="F62">
        <f>IF(E62&lt;=0,"⚠ SOLDE ÉPUISÉ — faire verser 500 €","")</f>
      </c>
      <c r="G62" t="str">
        <v>Non</v>
      </c>
      <c r="H62">
        <f>IF(C62&gt;500,"⚠ Facture &gt; 500 € — à relancer","")</f>
      </c>
      <c r="I62">
        <f>SUM($C$2:$C$120)-SUMIF($G$2:$G$120,"Oui",$C$2:$C$120)</f>
      </c>
      <c r="J62">
        <f>IF(I62&gt;500,"⚠ ENVOYER MESSAGE PAIEMENT","")</f>
      </c>
      <c r="K62" t="str">
        <v>Non</v>
      </c>
      <c r="L62" t="str">
        <v/>
      </c>
    </row>
    <row r="63">
      <c r="A63" t="str">
        <v/>
      </c>
      <c r="B63" t="str">
        <v/>
      </c>
      <c r="C63" t="str">
        <v/>
      </c>
      <c r="D63">
        <v>0</v>
      </c>
      <c r="E63">
        <f>E62+D63-C63</f>
      </c>
      <c r="F63">
        <f>IF(E63&lt;=0,"⚠ SOLDE ÉPUISÉ — faire verser 500 €","")</f>
      </c>
      <c r="G63" t="str">
        <v>Non</v>
      </c>
      <c r="H63">
        <f>IF(C63&gt;500,"⚠ Facture &gt; 500 € — à relancer","")</f>
      </c>
      <c r="I63">
        <f>SUM($C$2:$C$120)-SUMIF($G$2:$G$120,"Oui",$C$2:$C$120)</f>
      </c>
      <c r="J63">
        <f>IF(I63&gt;500,"⚠ ENVOYER MESSAGE PAIEMENT","")</f>
      </c>
      <c r="K63" t="str">
        <v>Non</v>
      </c>
      <c r="L63" t="str">
        <v/>
      </c>
    </row>
    <row r="64">
      <c r="A64" t="str">
        <v/>
      </c>
      <c r="B64" t="str">
        <v/>
      </c>
      <c r="C64" t="str">
        <v/>
      </c>
      <c r="D64">
        <v>0</v>
      </c>
      <c r="E64">
        <f>E63+D64-C64</f>
      </c>
      <c r="F64">
        <f>IF(E64&lt;=0,"⚠ SOLDE ÉPUISÉ — faire verser 500 €","")</f>
      </c>
      <c r="G64" t="str">
        <v>Non</v>
      </c>
      <c r="H64">
        <f>IF(C64&gt;500,"⚠ Facture &gt; 500 € — à relancer","")</f>
      </c>
      <c r="I64">
        <f>SUM($C$2:$C$120)-SUMIF($G$2:$G$120,"Oui",$C$2:$C$120)</f>
      </c>
      <c r="J64">
        <f>IF(I64&gt;500,"⚠ ENVOYER MESSAGE PAIEMENT","")</f>
      </c>
      <c r="K64" t="str">
        <v>Non</v>
      </c>
      <c r="L64" t="str">
        <v/>
      </c>
    </row>
    <row r="65">
      <c r="A65" t="str">
        <v/>
      </c>
      <c r="B65" t="str">
        <v/>
      </c>
      <c r="C65" t="str">
        <v/>
      </c>
      <c r="D65">
        <v>0</v>
      </c>
      <c r="E65">
        <f>E64+D65-C65</f>
      </c>
      <c r="F65">
        <f>IF(E65&lt;=0,"⚠ SOLDE ÉPUISÉ — faire verser 500 €","")</f>
      </c>
      <c r="G65" t="str">
        <v>Non</v>
      </c>
      <c r="H65">
        <f>IF(C65&gt;500,"⚠ Facture &gt; 500 € — à relancer","")</f>
      </c>
      <c r="I65">
        <f>SUM($C$2:$C$120)-SUMIF($G$2:$G$120,"Oui",$C$2:$C$120)</f>
      </c>
      <c r="J65">
        <f>IF(I65&gt;500,"⚠ ENVOYER MESSAGE PAIEMENT","")</f>
      </c>
      <c r="K65" t="str">
        <v>Non</v>
      </c>
      <c r="L65" t="str">
        <v/>
      </c>
    </row>
    <row r="66">
      <c r="A66" t="str">
        <v/>
      </c>
      <c r="B66" t="str">
        <v/>
      </c>
      <c r="C66" t="str">
        <v/>
      </c>
      <c r="D66">
        <v>0</v>
      </c>
      <c r="E66">
        <f>E65+D66-C66</f>
      </c>
      <c r="F66">
        <f>IF(E66&lt;=0,"⚠ SOLDE ÉPUISÉ — faire verser 500 €","")</f>
      </c>
      <c r="G66" t="str">
        <v>Non</v>
      </c>
      <c r="H66">
        <f>IF(C66&gt;500,"⚠ Facture &gt; 500 € — à relancer","")</f>
      </c>
      <c r="I66">
        <f>SUM($C$2:$C$120)-SUMIF($G$2:$G$120,"Oui",$C$2:$C$120)</f>
      </c>
      <c r="J66">
        <f>IF(I66&gt;500,"⚠ ENVOYER MESSAGE PAIEMENT","")</f>
      </c>
      <c r="K66" t="str">
        <v>Non</v>
      </c>
      <c r="L66" t="str">
        <v/>
      </c>
    </row>
    <row r="67">
      <c r="A67" t="str">
        <v/>
      </c>
      <c r="B67" t="str">
        <v/>
      </c>
      <c r="C67" t="str">
        <v/>
      </c>
      <c r="D67">
        <v>0</v>
      </c>
      <c r="E67">
        <f>E66+D67-C67</f>
      </c>
      <c r="F67">
        <f>IF(E67&lt;=0,"⚠ SOLDE ÉPUISÉ — faire verser 500 €","")</f>
      </c>
      <c r="G67" t="str">
        <v>Non</v>
      </c>
      <c r="H67">
        <f>IF(C67&gt;500,"⚠ Facture &gt; 500 € — à relancer","")</f>
      </c>
      <c r="I67">
        <f>SUM($C$2:$C$120)-SUMIF($G$2:$G$120,"Oui",$C$2:$C$120)</f>
      </c>
      <c r="J67">
        <f>IF(I67&gt;500,"⚠ ENVOYER MESSAGE PAIEMENT","")</f>
      </c>
      <c r="K67" t="str">
        <v>Non</v>
      </c>
      <c r="L67" t="str">
        <v/>
      </c>
    </row>
    <row r="68">
      <c r="A68" t="str">
        <v/>
      </c>
      <c r="B68" t="str">
        <v/>
      </c>
      <c r="C68" t="str">
        <v/>
      </c>
      <c r="D68">
        <v>0</v>
      </c>
      <c r="E68">
        <f>E67+D68-C68</f>
      </c>
      <c r="F68">
        <f>IF(E68&lt;=0,"⚠ SOLDE ÉPUISÉ — faire verser 500 €","")</f>
      </c>
      <c r="G68" t="str">
        <v>Non</v>
      </c>
      <c r="H68">
        <f>IF(C68&gt;500,"⚠ Facture &gt; 500 € — à relancer","")</f>
      </c>
      <c r="I68">
        <f>SUM($C$2:$C$120)-SUMIF($G$2:$G$120,"Oui",$C$2:$C$120)</f>
      </c>
      <c r="J68">
        <f>IF(I68&gt;500,"⚠ ENVOYER MESSAGE PAIEMENT","")</f>
      </c>
      <c r="K68" t="str">
        <v>Non</v>
      </c>
      <c r="L68" t="str">
        <v/>
      </c>
    </row>
    <row r="69">
      <c r="A69" t="str">
        <v/>
      </c>
      <c r="B69" t="str">
        <v/>
      </c>
      <c r="C69" t="str">
        <v/>
      </c>
      <c r="D69">
        <v>0</v>
      </c>
      <c r="E69">
        <f>E68+D69-C69</f>
      </c>
      <c r="F69">
        <f>IF(E69&lt;=0,"⚠ SOLDE ÉPUISÉ — faire verser 500 €","")</f>
      </c>
      <c r="G69" t="str">
        <v>Non</v>
      </c>
      <c r="H69">
        <f>IF(C69&gt;500,"⚠ Facture &gt; 500 € — à relancer","")</f>
      </c>
      <c r="I69">
        <f>SUM($C$2:$C$120)-SUMIF($G$2:$G$120,"Oui",$C$2:$C$120)</f>
      </c>
      <c r="J69">
        <f>IF(I69&gt;500,"⚠ ENVOYER MESSAGE PAIEMENT","")</f>
      </c>
      <c r="K69" t="str">
        <v>Non</v>
      </c>
      <c r="L69" t="str">
        <v/>
      </c>
    </row>
    <row r="70">
      <c r="A70" t="str">
        <v/>
      </c>
      <c r="B70" t="str">
        <v/>
      </c>
      <c r="C70" t="str">
        <v/>
      </c>
      <c r="D70">
        <v>0</v>
      </c>
      <c r="E70">
        <f>E69+D70-C70</f>
      </c>
      <c r="F70">
        <f>IF(E70&lt;=0,"⚠ SOLDE ÉPUISÉ — faire verser 500 €","")</f>
      </c>
      <c r="G70" t="str">
        <v>Non</v>
      </c>
      <c r="H70">
        <f>IF(C70&gt;500,"⚠ Facture &gt; 500 € — à relancer","")</f>
      </c>
      <c r="I70">
        <f>SUM($C$2:$C$120)-SUMIF($G$2:$G$120,"Oui",$C$2:$C$120)</f>
      </c>
      <c r="J70">
        <f>IF(I70&gt;500,"⚠ ENVOYER MESSAGE PAIEMENT","")</f>
      </c>
      <c r="K70" t="str">
        <v>Non</v>
      </c>
      <c r="L70" t="str">
        <v/>
      </c>
    </row>
    <row r="71">
      <c r="A71" t="str">
        <v/>
      </c>
      <c r="B71" t="str">
        <v/>
      </c>
      <c r="C71" t="str">
        <v/>
      </c>
      <c r="D71">
        <v>0</v>
      </c>
      <c r="E71">
        <f>E70+D71-C71</f>
      </c>
      <c r="F71">
        <f>IF(E71&lt;=0,"⚠ SOLDE ÉPUISÉ — faire verser 500 €","")</f>
      </c>
      <c r="G71" t="str">
        <v>Non</v>
      </c>
      <c r="H71">
        <f>IF(C71&gt;500,"⚠ Facture &gt; 500 € — à relancer","")</f>
      </c>
      <c r="I71">
        <f>SUM($C$2:$C$120)-SUMIF($G$2:$G$120,"Oui",$C$2:$C$120)</f>
      </c>
      <c r="J71">
        <f>IF(I71&gt;500,"⚠ ENVOYER MESSAGE PAIEMENT","")</f>
      </c>
      <c r="K71" t="str">
        <v>Non</v>
      </c>
      <c r="L71" t="str">
        <v/>
      </c>
    </row>
    <row r="72">
      <c r="A72" t="str">
        <v/>
      </c>
      <c r="B72" t="str">
        <v/>
      </c>
      <c r="C72" t="str">
        <v/>
      </c>
      <c r="D72">
        <v>0</v>
      </c>
      <c r="E72">
        <f>E71+D72-C72</f>
      </c>
      <c r="F72">
        <f>IF(E72&lt;=0,"⚠ SOLDE ÉPUISÉ — faire verser 500 €","")</f>
      </c>
      <c r="G72" t="str">
        <v>Non</v>
      </c>
      <c r="H72">
        <f>IF(C72&gt;500,"⚠ Facture &gt; 500 € — à relancer","")</f>
      </c>
      <c r="I72">
        <f>SUM($C$2:$C$120)-SUMIF($G$2:$G$120,"Oui",$C$2:$C$120)</f>
      </c>
      <c r="J72">
        <f>IF(I72&gt;500,"⚠ ENVOYER MESSAGE PAIEMENT","")</f>
      </c>
      <c r="K72" t="str">
        <v>Non</v>
      </c>
      <c r="L72" t="str">
        <v/>
      </c>
    </row>
    <row r="73">
      <c r="A73" t="str">
        <v/>
      </c>
      <c r="B73" t="str">
        <v/>
      </c>
      <c r="C73" t="str">
        <v/>
      </c>
      <c r="D73">
        <v>0</v>
      </c>
      <c r="E73">
        <f>E72+D73-C73</f>
      </c>
      <c r="F73">
        <f>IF(E73&lt;=0,"⚠ SOLDE ÉPUISÉ — faire verser 500 €","")</f>
      </c>
      <c r="G73" t="str">
        <v>Non</v>
      </c>
      <c r="H73">
        <f>IF(C73&gt;500,"⚠ Facture &gt; 500 € — à relancer","")</f>
      </c>
      <c r="I73">
        <f>SUM($C$2:$C$120)-SUMIF($G$2:$G$120,"Oui",$C$2:$C$120)</f>
      </c>
      <c r="J73">
        <f>IF(I73&gt;500,"⚠ ENVOYER MESSAGE PAIEMENT","")</f>
      </c>
      <c r="K73" t="str">
        <v>Non</v>
      </c>
      <c r="L73" t="str">
        <v/>
      </c>
    </row>
    <row r="74">
      <c r="A74" t="str">
        <v/>
      </c>
      <c r="B74" t="str">
        <v/>
      </c>
      <c r="C74" t="str">
        <v/>
      </c>
      <c r="D74">
        <v>0</v>
      </c>
      <c r="E74">
        <f>E73+D74-C74</f>
      </c>
      <c r="F74">
        <f>IF(E74&lt;=0,"⚠ SOLDE ÉPUISÉ — faire verser 500 €","")</f>
      </c>
      <c r="G74" t="str">
        <v>Non</v>
      </c>
      <c r="H74">
        <f>IF(C74&gt;500,"⚠ Facture &gt; 500 € — à relancer","")</f>
      </c>
      <c r="I74">
        <f>SUM($C$2:$C$120)-SUMIF($G$2:$G$120,"Oui",$C$2:$C$120)</f>
      </c>
      <c r="J74">
        <f>IF(I74&gt;500,"⚠ ENVOYER MESSAGE PAIEMENT","")</f>
      </c>
      <c r="K74" t="str">
        <v>Non</v>
      </c>
      <c r="L74" t="str">
        <v/>
      </c>
    </row>
    <row r="75">
      <c r="A75" t="str">
        <v/>
      </c>
      <c r="B75" t="str">
        <v/>
      </c>
      <c r="C75" t="str">
        <v/>
      </c>
      <c r="D75">
        <v>0</v>
      </c>
      <c r="E75">
        <f>E74+D75-C75</f>
      </c>
      <c r="F75">
        <f>IF(E75&lt;=0,"⚠ SOLDE ÉPUISÉ — faire verser 500 €","")</f>
      </c>
      <c r="G75" t="str">
        <v>Non</v>
      </c>
      <c r="H75">
        <f>IF(C75&gt;500,"⚠ Facture &gt; 500 € — à relancer","")</f>
      </c>
      <c r="I75">
        <f>SUM($C$2:$C$120)-SUMIF($G$2:$G$120,"Oui",$C$2:$C$120)</f>
      </c>
      <c r="J75">
        <f>IF(I75&gt;500,"⚠ ENVOYER MESSAGE PAIEMENT","")</f>
      </c>
      <c r="K75" t="str">
        <v>Non</v>
      </c>
      <c r="L75" t="str">
        <v/>
      </c>
    </row>
    <row r="76">
      <c r="A76" t="str">
        <v/>
      </c>
      <c r="B76" t="str">
        <v/>
      </c>
      <c r="C76" t="str">
        <v/>
      </c>
      <c r="D76">
        <v>0</v>
      </c>
      <c r="E76">
        <f>E75+D76-C76</f>
      </c>
      <c r="F76">
        <f>IF(E76&lt;=0,"⚠ SOLDE ÉPUISÉ — faire verser 500 €","")</f>
      </c>
      <c r="G76" t="str">
        <v>Non</v>
      </c>
      <c r="H76">
        <f>IF(C76&gt;500,"⚠ Facture &gt; 500 € — à relancer","")</f>
      </c>
      <c r="I76">
        <f>SUM($C$2:$C$120)-SUMIF($G$2:$G$120,"Oui",$C$2:$C$120)</f>
      </c>
      <c r="J76">
        <f>IF(I76&gt;500,"⚠ ENVOYER MESSAGE PAIEMENT","")</f>
      </c>
      <c r="K76" t="str">
        <v>Non</v>
      </c>
      <c r="L76" t="str">
        <v/>
      </c>
    </row>
    <row r="77">
      <c r="A77" t="str">
        <v/>
      </c>
      <c r="B77" t="str">
        <v/>
      </c>
      <c r="C77" t="str">
        <v/>
      </c>
      <c r="D77">
        <v>0</v>
      </c>
      <c r="E77">
        <f>E76+D77-C77</f>
      </c>
      <c r="F77">
        <f>IF(E77&lt;=0,"⚠ SOLDE ÉPUISÉ — faire verser 500 €","")</f>
      </c>
      <c r="G77" t="str">
        <v>Non</v>
      </c>
      <c r="H77">
        <f>IF(C77&gt;500,"⚠ Facture &gt; 500 € — à relancer","")</f>
      </c>
      <c r="I77">
        <f>SUM($C$2:$C$120)-SUMIF($G$2:$G$120,"Oui",$C$2:$C$120)</f>
      </c>
      <c r="J77">
        <f>IF(I77&gt;500,"⚠ ENVOYER MESSAGE PAIEMENT","")</f>
      </c>
      <c r="K77" t="str">
        <v>Non</v>
      </c>
      <c r="L77" t="str">
        <v/>
      </c>
    </row>
    <row r="78">
      <c r="A78" t="str">
        <v/>
      </c>
      <c r="B78" t="str">
        <v/>
      </c>
      <c r="C78" t="str">
        <v/>
      </c>
      <c r="D78">
        <v>0</v>
      </c>
      <c r="E78">
        <f>E77+D78-C78</f>
      </c>
      <c r="F78">
        <f>IF(E78&lt;=0,"⚠ SOLDE ÉPUISÉ — faire verser 500 €","")</f>
      </c>
      <c r="G78" t="str">
        <v>Non</v>
      </c>
      <c r="H78">
        <f>IF(C78&gt;500,"⚠ Facture &gt; 500 € — à relancer","")</f>
      </c>
      <c r="I78">
        <f>SUM($C$2:$C$120)-SUMIF($G$2:$G$120,"Oui",$C$2:$C$120)</f>
      </c>
      <c r="J78">
        <f>IF(I78&gt;500,"⚠ ENVOYER MESSAGE PAIEMENT","")</f>
      </c>
      <c r="K78" t="str">
        <v>Non</v>
      </c>
      <c r="L78" t="str">
        <v/>
      </c>
    </row>
    <row r="79">
      <c r="A79" t="str">
        <v/>
      </c>
      <c r="B79" t="str">
        <v/>
      </c>
      <c r="C79" t="str">
        <v/>
      </c>
      <c r="D79">
        <v>0</v>
      </c>
      <c r="E79">
        <f>E78+D79-C79</f>
      </c>
      <c r="F79">
        <f>IF(E79&lt;=0,"⚠ SOLDE ÉPUISÉ — faire verser 500 €","")</f>
      </c>
      <c r="G79" t="str">
        <v>Non</v>
      </c>
      <c r="H79">
        <f>IF(C79&gt;500,"⚠ Facture &gt; 500 € — à relancer","")</f>
      </c>
      <c r="I79">
        <f>SUM($C$2:$C$120)-SUMIF($G$2:$G$120,"Oui",$C$2:$C$120)</f>
      </c>
      <c r="J79">
        <f>IF(I79&gt;500,"⚠ ENVOYER MESSAGE PAIEMENT","")</f>
      </c>
      <c r="K79" t="str">
        <v>Non</v>
      </c>
      <c r="L79" t="str">
        <v/>
      </c>
    </row>
    <row r="80">
      <c r="A80" t="str">
        <v/>
      </c>
      <c r="B80" t="str">
        <v/>
      </c>
      <c r="C80" t="str">
        <v/>
      </c>
      <c r="D80">
        <v>0</v>
      </c>
      <c r="E80">
        <f>E79+D80-C80</f>
      </c>
      <c r="F80">
        <f>IF(E80&lt;=0,"⚠ SOLDE ÉPUISÉ — faire verser 500 €","")</f>
      </c>
      <c r="G80" t="str">
        <v>Non</v>
      </c>
      <c r="H80">
        <f>IF(C80&gt;500,"⚠ Facture &gt; 500 € — à relancer","")</f>
      </c>
      <c r="I80">
        <f>SUM($C$2:$C$120)-SUMIF($G$2:$G$120,"Oui",$C$2:$C$120)</f>
      </c>
      <c r="J80">
        <f>IF(I80&gt;500,"⚠ ENVOYER MESSAGE PAIEMENT","")</f>
      </c>
      <c r="K80" t="str">
        <v>Non</v>
      </c>
      <c r="L80" t="str">
        <v/>
      </c>
    </row>
    <row r="81">
      <c r="A81" t="str">
        <v/>
      </c>
      <c r="B81" t="str">
        <v/>
      </c>
      <c r="C81" t="str">
        <v/>
      </c>
      <c r="D81">
        <v>0</v>
      </c>
      <c r="E81">
        <f>E80+D81-C81</f>
      </c>
      <c r="F81">
        <f>IF(E81&lt;=0,"⚠ SOLDE ÉPUISÉ — faire verser 500 €","")</f>
      </c>
      <c r="G81" t="str">
        <v>Non</v>
      </c>
      <c r="H81">
        <f>IF(C81&gt;500,"⚠ Facture &gt; 500 € — à relancer","")</f>
      </c>
      <c r="I81">
        <f>SUM($C$2:$C$120)-SUMIF($G$2:$G$120,"Oui",$C$2:$C$120)</f>
      </c>
      <c r="J81">
        <f>IF(I81&gt;500,"⚠ ENVOYER MESSAGE PAIEMENT","")</f>
      </c>
      <c r="K81" t="str">
        <v>Non</v>
      </c>
      <c r="L81" t="str">
        <v/>
      </c>
    </row>
    <row r="82">
      <c r="A82" t="str">
        <v/>
      </c>
      <c r="B82" t="str">
        <v/>
      </c>
      <c r="C82" t="str">
        <v/>
      </c>
      <c r="D82">
        <v>0</v>
      </c>
      <c r="E82">
        <f>E81+D82-C82</f>
      </c>
      <c r="F82">
        <f>IF(E82&lt;=0,"⚠ SOLDE ÉPUISÉ — faire verser 500 €","")</f>
      </c>
      <c r="G82" t="str">
        <v>Non</v>
      </c>
      <c r="H82">
        <f>IF(C82&gt;500,"⚠ Facture &gt; 500 € — à relancer","")</f>
      </c>
      <c r="I82">
        <f>SUM($C$2:$C$120)-SUMIF($G$2:$G$120,"Oui",$C$2:$C$120)</f>
      </c>
      <c r="J82">
        <f>IF(I82&gt;500,"⚠ ENVOYER MESSAGE PAIEMENT","")</f>
      </c>
      <c r="K82" t="str">
        <v>Non</v>
      </c>
      <c r="L82" t="str">
        <v/>
      </c>
    </row>
    <row r="83">
      <c r="A83" t="str">
        <v/>
      </c>
      <c r="B83" t="str">
        <v/>
      </c>
      <c r="C83" t="str">
        <v/>
      </c>
      <c r="D83">
        <v>0</v>
      </c>
      <c r="E83">
        <f>E82+D83-C83</f>
      </c>
      <c r="F83">
        <f>IF(E83&lt;=0,"⚠ SOLDE ÉPUISÉ — faire verser 500 €","")</f>
      </c>
      <c r="G83" t="str">
        <v>Non</v>
      </c>
      <c r="H83">
        <f>IF(C83&gt;500,"⚠ Facture &gt; 500 € — à relancer","")</f>
      </c>
      <c r="I83">
        <f>SUM($C$2:$C$120)-SUMIF($G$2:$G$120,"Oui",$C$2:$C$120)</f>
      </c>
      <c r="J83">
        <f>IF(I83&gt;500,"⚠ ENVOYER MESSAGE PAIEMENT","")</f>
      </c>
      <c r="K83" t="str">
        <v>Non</v>
      </c>
      <c r="L83" t="str">
        <v/>
      </c>
    </row>
    <row r="84">
      <c r="A84" t="str">
        <v/>
      </c>
      <c r="B84" t="str">
        <v/>
      </c>
      <c r="C84" t="str">
        <v/>
      </c>
      <c r="D84">
        <v>0</v>
      </c>
      <c r="E84">
        <f>E83+D84-C84</f>
      </c>
      <c r="F84">
        <f>IF(E84&lt;=0,"⚠ SOLDE ÉPUISÉ — faire verser 500 €","")</f>
      </c>
      <c r="G84" t="str">
        <v>Non</v>
      </c>
      <c r="H84">
        <f>IF(C84&gt;500,"⚠ Facture &gt; 500 € — à relancer","")</f>
      </c>
      <c r="I84">
        <f>SUM($C$2:$C$120)-SUMIF($G$2:$G$120,"Oui",$C$2:$C$120)</f>
      </c>
      <c r="J84">
        <f>IF(I84&gt;500,"⚠ ENVOYER MESSAGE PAIEMENT","")</f>
      </c>
      <c r="K84" t="str">
        <v>Non</v>
      </c>
      <c r="L84" t="str">
        <v/>
      </c>
    </row>
    <row r="85">
      <c r="A85" t="str">
        <v/>
      </c>
      <c r="B85" t="str">
        <v/>
      </c>
      <c r="C85" t="str">
        <v/>
      </c>
      <c r="D85">
        <v>0</v>
      </c>
      <c r="E85">
        <f>E84+D85-C85</f>
      </c>
      <c r="F85">
        <f>IF(E85&lt;=0,"⚠ SOLDE ÉPUISÉ — faire verser 500 €","")</f>
      </c>
      <c r="G85" t="str">
        <v>Non</v>
      </c>
      <c r="H85">
        <f>IF(C85&gt;500,"⚠ Facture &gt; 500 € — à relancer","")</f>
      </c>
      <c r="I85">
        <f>SUM($C$2:$C$120)-SUMIF($G$2:$G$120,"Oui",$C$2:$C$120)</f>
      </c>
      <c r="J85">
        <f>IF(I85&gt;500,"⚠ ENVOYER MESSAGE PAIEMENT","")</f>
      </c>
      <c r="K85" t="str">
        <v>Non</v>
      </c>
      <c r="L85" t="str">
        <v/>
      </c>
    </row>
    <row r="86">
      <c r="A86" t="str">
        <v/>
      </c>
      <c r="B86" t="str">
        <v/>
      </c>
      <c r="C86" t="str">
        <v/>
      </c>
      <c r="D86">
        <v>0</v>
      </c>
      <c r="E86">
        <f>E85+D86-C86</f>
      </c>
      <c r="F86">
        <f>IF(E86&lt;=0,"⚠ SOLDE ÉPUISÉ — faire verser 500 €","")</f>
      </c>
      <c r="G86" t="str">
        <v>Non</v>
      </c>
      <c r="H86">
        <f>IF(C86&gt;500,"⚠ Facture &gt; 500 € — à relancer","")</f>
      </c>
      <c r="I86">
        <f>SUM($C$2:$C$120)-SUMIF($G$2:$G$120,"Oui",$C$2:$C$120)</f>
      </c>
      <c r="J86">
        <f>IF(I86&gt;500,"⚠ ENVOYER MESSAGE PAIEMENT","")</f>
      </c>
      <c r="K86" t="str">
        <v>Non</v>
      </c>
      <c r="L86" t="str">
        <v/>
      </c>
    </row>
    <row r="87">
      <c r="A87" t="str">
        <v/>
      </c>
      <c r="B87" t="str">
        <v/>
      </c>
      <c r="C87" t="str">
        <v/>
      </c>
      <c r="D87">
        <v>0</v>
      </c>
      <c r="E87">
        <f>E86+D87-C87</f>
      </c>
      <c r="F87">
        <f>IF(E87&lt;=0,"⚠ SOLDE ÉPUISÉ — faire verser 500 €","")</f>
      </c>
      <c r="G87" t="str">
        <v>Non</v>
      </c>
      <c r="H87">
        <f>IF(C87&gt;500,"⚠ Facture &gt; 500 € — à relancer","")</f>
      </c>
      <c r="I87">
        <f>SUM($C$2:$C$120)-SUMIF($G$2:$G$120,"Oui",$C$2:$C$120)</f>
      </c>
      <c r="J87">
        <f>IF(I87&gt;500,"⚠ ENVOYER MESSAGE PAIEMENT","")</f>
      </c>
      <c r="K87" t="str">
        <v>Non</v>
      </c>
      <c r="L87" t="str">
        <v/>
      </c>
    </row>
    <row r="88">
      <c r="A88" t="str">
        <v/>
      </c>
      <c r="B88" t="str">
        <v/>
      </c>
      <c r="C88" t="str">
        <v/>
      </c>
      <c r="D88">
        <v>0</v>
      </c>
      <c r="E88">
        <f>E87+D88-C88</f>
      </c>
      <c r="F88">
        <f>IF(E88&lt;=0,"⚠ SOLDE ÉPUISÉ — faire verser 500 €","")</f>
      </c>
      <c r="G88" t="str">
        <v>Non</v>
      </c>
      <c r="H88">
        <f>IF(C88&gt;500,"⚠ Facture &gt; 500 € — à relancer","")</f>
      </c>
      <c r="I88">
        <f>SUM($C$2:$C$120)-SUMIF($G$2:$G$120,"Oui",$C$2:$C$120)</f>
      </c>
      <c r="J88">
        <f>IF(I88&gt;500,"⚠ ENVOYER MESSAGE PAIEMENT","")</f>
      </c>
      <c r="K88" t="str">
        <v>Non</v>
      </c>
      <c r="L88" t="str">
        <v/>
      </c>
    </row>
    <row r="89">
      <c r="A89" t="str">
        <v/>
      </c>
      <c r="B89" t="str">
        <v/>
      </c>
      <c r="C89" t="str">
        <v/>
      </c>
      <c r="D89">
        <v>0</v>
      </c>
      <c r="E89">
        <f>E88+D89-C89</f>
      </c>
      <c r="F89">
        <f>IF(E89&lt;=0,"⚠ SOLDE ÉPUISÉ — faire verser 500 €","")</f>
      </c>
      <c r="G89" t="str">
        <v>Non</v>
      </c>
      <c r="H89">
        <f>IF(C89&gt;500,"⚠ Facture &gt; 500 € — à relancer","")</f>
      </c>
      <c r="I89">
        <f>SUM($C$2:$C$120)-SUMIF($G$2:$G$120,"Oui",$C$2:$C$120)</f>
      </c>
      <c r="J89">
        <f>IF(I89&gt;500,"⚠ ENVOYER MESSAGE PAIEMENT","")</f>
      </c>
      <c r="K89" t="str">
        <v>Non</v>
      </c>
      <c r="L89" t="str">
        <v/>
      </c>
    </row>
    <row r="90">
      <c r="A90" t="str">
        <v/>
      </c>
      <c r="B90" t="str">
        <v/>
      </c>
      <c r="C90" t="str">
        <v/>
      </c>
      <c r="D90">
        <v>0</v>
      </c>
      <c r="E90">
        <f>E89+D90-C90</f>
      </c>
      <c r="F90">
        <f>IF(E90&lt;=0,"⚠ SOLDE ÉPUISÉ — faire verser 500 €","")</f>
      </c>
      <c r="G90" t="str">
        <v>Non</v>
      </c>
      <c r="H90">
        <f>IF(C90&gt;500,"⚠ Facture &gt; 500 € — à relancer","")</f>
      </c>
      <c r="I90">
        <f>SUM($C$2:$C$120)-SUMIF($G$2:$G$120,"Oui",$C$2:$C$120)</f>
      </c>
      <c r="J90">
        <f>IF(I90&gt;500,"⚠ ENVOYER MESSAGE PAIEMENT","")</f>
      </c>
      <c r="K90" t="str">
        <v>Non</v>
      </c>
      <c r="L90" t="str">
        <v/>
      </c>
    </row>
    <row r="91">
      <c r="A91" t="str">
        <v/>
      </c>
      <c r="B91" t="str">
        <v/>
      </c>
      <c r="C91" t="str">
        <v/>
      </c>
      <c r="D91">
        <v>0</v>
      </c>
      <c r="E91">
        <f>E90+D91-C91</f>
      </c>
      <c r="F91">
        <f>IF(E91&lt;=0,"⚠ SOLDE ÉPUISÉ — faire verser 500 €","")</f>
      </c>
      <c r="G91" t="str">
        <v>Non</v>
      </c>
      <c r="H91">
        <f>IF(C91&gt;500,"⚠ Facture &gt; 500 € — à relancer","")</f>
      </c>
      <c r="I91">
        <f>SUM($C$2:$C$120)-SUMIF($G$2:$G$120,"Oui",$C$2:$C$120)</f>
      </c>
      <c r="J91">
        <f>IF(I91&gt;500,"⚠ ENVOYER MESSAGE PAIEMENT","")</f>
      </c>
      <c r="K91" t="str">
        <v>Non</v>
      </c>
      <c r="L91" t="str">
        <v/>
      </c>
    </row>
    <row r="92">
      <c r="A92" t="str">
        <v/>
      </c>
      <c r="B92" t="str">
        <v/>
      </c>
      <c r="C92" t="str">
        <v/>
      </c>
      <c r="D92">
        <v>0</v>
      </c>
      <c r="E92">
        <f>E91+D92-C92</f>
      </c>
      <c r="F92">
        <f>IF(E92&lt;=0,"⚠ SOLDE ÉPUISÉ — faire verser 500 €","")</f>
      </c>
      <c r="G92" t="str">
        <v>Non</v>
      </c>
      <c r="H92">
        <f>IF(C92&gt;500,"⚠ Facture &gt; 500 € — à relancer","")</f>
      </c>
      <c r="I92">
        <f>SUM($C$2:$C$120)-SUMIF($G$2:$G$120,"Oui",$C$2:$C$120)</f>
      </c>
      <c r="J92">
        <f>IF(I92&gt;500,"⚠ ENVOYER MESSAGE PAIEMENT","")</f>
      </c>
      <c r="K92" t="str">
        <v>Non</v>
      </c>
      <c r="L92" t="str">
        <v/>
      </c>
    </row>
    <row r="93">
      <c r="A93" t="str">
        <v/>
      </c>
      <c r="B93" t="str">
        <v/>
      </c>
      <c r="C93" t="str">
        <v/>
      </c>
      <c r="D93">
        <v>0</v>
      </c>
      <c r="E93">
        <f>E92+D93-C93</f>
      </c>
      <c r="F93">
        <f>IF(E93&lt;=0,"⚠ SOLDE ÉPUISÉ — faire verser 500 €","")</f>
      </c>
      <c r="G93" t="str">
        <v>Non</v>
      </c>
      <c r="H93">
        <f>IF(C93&gt;500,"⚠ Facture &gt; 500 € — à relancer","")</f>
      </c>
      <c r="I93">
        <f>SUM($C$2:$C$120)-SUMIF($G$2:$G$120,"Oui",$C$2:$C$120)</f>
      </c>
      <c r="J93">
        <f>IF(I93&gt;500,"⚠ ENVOYER MESSAGE PAIEMENT","")</f>
      </c>
      <c r="K93" t="str">
        <v>Non</v>
      </c>
      <c r="L93" t="str">
        <v/>
      </c>
    </row>
    <row r="94">
      <c r="A94" t="str">
        <v/>
      </c>
      <c r="B94" t="str">
        <v/>
      </c>
      <c r="C94" t="str">
        <v/>
      </c>
      <c r="D94">
        <v>0</v>
      </c>
      <c r="E94">
        <f>E93+D94-C94</f>
      </c>
      <c r="F94">
        <f>IF(E94&lt;=0,"⚠ SOLDE ÉPUISÉ — faire verser 500 €","")</f>
      </c>
      <c r="G94" t="str">
        <v>Non</v>
      </c>
      <c r="H94">
        <f>IF(C94&gt;500,"⚠ Facture &gt; 500 € — à relancer","")</f>
      </c>
      <c r="I94">
        <f>SUM($C$2:$C$120)-SUMIF($G$2:$G$120,"Oui",$C$2:$C$120)</f>
      </c>
      <c r="J94">
        <f>IF(I94&gt;500,"⚠ ENVOYER MESSAGE PAIEMENT","")</f>
      </c>
      <c r="K94" t="str">
        <v>Non</v>
      </c>
      <c r="L94" t="str">
        <v/>
      </c>
    </row>
    <row r="95">
      <c r="A95" t="str">
        <v/>
      </c>
      <c r="B95" t="str">
        <v/>
      </c>
      <c r="C95" t="str">
        <v/>
      </c>
      <c r="D95">
        <v>0</v>
      </c>
      <c r="E95">
        <f>E94+D95-C95</f>
      </c>
      <c r="F95">
        <f>IF(E95&lt;=0,"⚠ SOLDE ÉPUISÉ — faire verser 500 €","")</f>
      </c>
      <c r="G95" t="str">
        <v>Non</v>
      </c>
      <c r="H95">
        <f>IF(C95&gt;500,"⚠ Facture &gt; 500 € — à relancer","")</f>
      </c>
      <c r="I95">
        <f>SUM($C$2:$C$120)-SUMIF($G$2:$G$120,"Oui",$C$2:$C$120)</f>
      </c>
      <c r="J95">
        <f>IF(I95&gt;500,"⚠ ENVOYER MESSAGE PAIEMENT","")</f>
      </c>
      <c r="K95" t="str">
        <v>Non</v>
      </c>
      <c r="L95" t="str">
        <v/>
      </c>
    </row>
    <row r="96">
      <c r="A96" t="str">
        <v/>
      </c>
      <c r="B96" t="str">
        <v/>
      </c>
      <c r="C96" t="str">
        <v/>
      </c>
      <c r="D96">
        <v>0</v>
      </c>
      <c r="E96">
        <f>E95+D96-C96</f>
      </c>
      <c r="F96">
        <f>IF(E96&lt;=0,"⚠ SOLDE ÉPUISÉ — faire verser 500 €","")</f>
      </c>
      <c r="G96" t="str">
        <v>Non</v>
      </c>
      <c r="H96">
        <f>IF(C96&gt;500,"⚠ Facture &gt; 500 € — à relancer","")</f>
      </c>
      <c r="I96">
        <f>SUM($C$2:$C$120)-SUMIF($G$2:$G$120,"Oui",$C$2:$C$120)</f>
      </c>
      <c r="J96">
        <f>IF(I96&gt;500,"⚠ ENVOYER MESSAGE PAIEMENT","")</f>
      </c>
      <c r="K96" t="str">
        <v>Non</v>
      </c>
      <c r="L96" t="str">
        <v/>
      </c>
    </row>
    <row r="97">
      <c r="A97" t="str">
        <v/>
      </c>
      <c r="B97" t="str">
        <v/>
      </c>
      <c r="C97" t="str">
        <v/>
      </c>
      <c r="D97">
        <v>0</v>
      </c>
      <c r="E97">
        <f>E96+D97-C97</f>
      </c>
      <c r="F97">
        <f>IF(E97&lt;=0,"⚠ SOLDE ÉPUISÉ — faire verser 500 €","")</f>
      </c>
      <c r="G97" t="str">
        <v>Non</v>
      </c>
      <c r="H97">
        <f>IF(C97&gt;500,"⚠ Facture &gt; 500 € — à relancer","")</f>
      </c>
      <c r="I97">
        <f>SUM($C$2:$C$120)-SUMIF($G$2:$G$120,"Oui",$C$2:$C$120)</f>
      </c>
      <c r="J97">
        <f>IF(I97&gt;500,"⚠ ENVOYER MESSAGE PAIEMENT","")</f>
      </c>
      <c r="K97" t="str">
        <v>Non</v>
      </c>
      <c r="L97" t="str">
        <v/>
      </c>
    </row>
    <row r="98">
      <c r="A98" t="str">
        <v/>
      </c>
      <c r="B98" t="str">
        <v/>
      </c>
      <c r="C98" t="str">
        <v/>
      </c>
      <c r="D98">
        <v>0</v>
      </c>
      <c r="E98">
        <f>E97+D98-C98</f>
      </c>
      <c r="F98">
        <f>IF(E98&lt;=0,"⚠ SOLDE ÉPUISÉ — faire verser 500 €","")</f>
      </c>
      <c r="G98" t="str">
        <v>Non</v>
      </c>
      <c r="H98">
        <f>IF(C98&gt;500,"⚠ Facture &gt; 500 € — à relancer","")</f>
      </c>
      <c r="I98">
        <f>SUM($C$2:$C$120)-SUMIF($G$2:$G$120,"Oui",$C$2:$C$120)</f>
      </c>
      <c r="J98">
        <f>IF(I98&gt;500,"⚠ ENVOYER MESSAGE PAIEMENT","")</f>
      </c>
      <c r="K98" t="str">
        <v>Non</v>
      </c>
      <c r="L98" t="str">
        <v/>
      </c>
    </row>
    <row r="99">
      <c r="A99" t="str">
        <v/>
      </c>
      <c r="B99" t="str">
        <v/>
      </c>
      <c r="C99" t="str">
        <v/>
      </c>
      <c r="D99">
        <v>0</v>
      </c>
      <c r="E99">
        <f>E98+D99-C99</f>
      </c>
      <c r="F99">
        <f>IF(E99&lt;=0,"⚠ SOLDE ÉPUISÉ — faire verser 500 €","")</f>
      </c>
      <c r="G99" t="str">
        <v>Non</v>
      </c>
      <c r="H99">
        <f>IF(C99&gt;500,"⚠ Facture &gt; 500 € — à relancer","")</f>
      </c>
      <c r="I99">
        <f>SUM($C$2:$C$120)-SUMIF($G$2:$G$120,"Oui",$C$2:$C$120)</f>
      </c>
      <c r="J99">
        <f>IF(I99&gt;500,"⚠ ENVOYER MESSAGE PAIEMENT","")</f>
      </c>
      <c r="K99" t="str">
        <v>Non</v>
      </c>
      <c r="L99" t="str">
        <v/>
      </c>
    </row>
    <row r="100">
      <c r="A100" t="str">
        <v/>
      </c>
      <c r="B100" t="str">
        <v/>
      </c>
      <c r="C100" t="str">
        <v/>
      </c>
      <c r="D100">
        <v>0</v>
      </c>
      <c r="E100">
        <f>E99+D100-C100</f>
      </c>
      <c r="F100">
        <f>IF(E100&lt;=0,"⚠ SOLDE ÉPUISÉ — faire verser 500 €","")</f>
      </c>
      <c r="G100" t="str">
        <v>Non</v>
      </c>
      <c r="H100">
        <f>IF(C100&gt;500,"⚠ Facture &gt; 500 € — à relancer","")</f>
      </c>
      <c r="I100">
        <f>SUM($C$2:$C$120)-SUMIF($G$2:$G$120,"Oui",$C$2:$C$120)</f>
      </c>
      <c r="J100">
        <f>IF(I100&gt;500,"⚠ ENVOYER MESSAGE PAIEMENT","")</f>
      </c>
      <c r="K100" t="str">
        <v>Non</v>
      </c>
      <c r="L100" t="str">
        <v/>
      </c>
    </row>
    <row r="101">
      <c r="A101" t="str">
        <v/>
      </c>
      <c r="B101" t="str">
        <v/>
      </c>
      <c r="C101" t="str">
        <v/>
      </c>
      <c r="D101">
        <v>0</v>
      </c>
      <c r="E101">
        <f>E100+D101-C101</f>
      </c>
      <c r="F101">
        <f>IF(E101&lt;=0,"⚠ SOLDE ÉPUISÉ — faire verser 500 €","")</f>
      </c>
      <c r="G101" t="str">
        <v>Non</v>
      </c>
      <c r="H101">
        <f>IF(C101&gt;500,"⚠ Facture &gt; 500 € — à relancer","")</f>
      </c>
      <c r="I101">
        <f>SUM($C$2:$C$120)-SUMIF($G$2:$G$120,"Oui",$C$2:$C$120)</f>
      </c>
      <c r="J101">
        <f>IF(I101&gt;500,"⚠ ENVOYER MESSAGE PAIEMENT","")</f>
      </c>
      <c r="K101" t="str">
        <v>Non</v>
      </c>
      <c r="L101" t="str">
        <v/>
      </c>
    </row>
    <row r="102">
      <c r="A102" t="str">
        <v/>
      </c>
      <c r="B102" t="str">
        <v/>
      </c>
      <c r="C102" t="str">
        <v/>
      </c>
      <c r="D102">
        <v>0</v>
      </c>
      <c r="E102">
        <f>E101+D102-C102</f>
      </c>
      <c r="F102">
        <f>IF(E102&lt;=0,"⚠ SOLDE ÉPUISÉ — faire verser 500 €","")</f>
      </c>
      <c r="G102" t="str">
        <v>Non</v>
      </c>
      <c r="H102">
        <f>IF(C102&gt;500,"⚠ Facture &gt; 500 € — à relancer","")</f>
      </c>
      <c r="I102">
        <f>SUM($C$2:$C$120)-SUMIF($G$2:$G$120,"Oui",$C$2:$C$120)</f>
      </c>
      <c r="J102">
        <f>IF(I102&gt;500,"⚠ ENVOYER MESSAGE PAIEMENT","")</f>
      </c>
      <c r="K102" t="str">
        <v>Non</v>
      </c>
      <c r="L102" t="str">
        <v/>
      </c>
    </row>
    <row r="103">
      <c r="A103" t="str">
        <v/>
      </c>
      <c r="B103" t="str">
        <v/>
      </c>
      <c r="C103" t="str">
        <v/>
      </c>
      <c r="D103">
        <v>0</v>
      </c>
      <c r="E103">
        <f>E102+D103-C103</f>
      </c>
      <c r="F103">
        <f>IF(E103&lt;=0,"⚠ SOLDE ÉPUISÉ — faire verser 500 €","")</f>
      </c>
      <c r="G103" t="str">
        <v>Non</v>
      </c>
      <c r="H103">
        <f>IF(C103&gt;500,"⚠ Facture &gt; 500 € — à relancer","")</f>
      </c>
      <c r="I103">
        <f>SUM($C$2:$C$120)-SUMIF($G$2:$G$120,"Oui",$C$2:$C$120)</f>
      </c>
      <c r="J103">
        <f>IF(I103&gt;500,"⚠ ENVOYER MESSAGE PAIEMENT","")</f>
      </c>
      <c r="K103" t="str">
        <v>Non</v>
      </c>
      <c r="L103" t="str">
        <v/>
      </c>
    </row>
    <row r="104">
      <c r="A104" t="str">
        <v/>
      </c>
      <c r="B104" t="str">
        <v/>
      </c>
      <c r="C104" t="str">
        <v/>
      </c>
      <c r="D104">
        <v>0</v>
      </c>
      <c r="E104">
        <f>E103+D104-C104</f>
      </c>
      <c r="F104">
        <f>IF(E104&lt;=0,"⚠ SOLDE ÉPUISÉ — faire verser 500 €","")</f>
      </c>
      <c r="G104" t="str">
        <v>Non</v>
      </c>
      <c r="H104">
        <f>IF(C104&gt;500,"⚠ Facture &gt; 500 € — à relancer","")</f>
      </c>
      <c r="I104">
        <f>SUM($C$2:$C$120)-SUMIF($G$2:$G$120,"Oui",$C$2:$C$120)</f>
      </c>
      <c r="J104">
        <f>IF(I104&gt;500,"⚠ ENVOYER MESSAGE PAIEMENT","")</f>
      </c>
      <c r="K104" t="str">
        <v>Non</v>
      </c>
      <c r="L104" t="str">
        <v/>
      </c>
    </row>
    <row r="105">
      <c r="A105" t="str">
        <v/>
      </c>
      <c r="B105" t="str">
        <v/>
      </c>
      <c r="C105" t="str">
        <v/>
      </c>
      <c r="D105">
        <v>0</v>
      </c>
      <c r="E105">
        <f>E104+D105-C105</f>
      </c>
      <c r="F105">
        <f>IF(E105&lt;=0,"⚠ SOLDE ÉPUISÉ — faire verser 500 €","")</f>
      </c>
      <c r="G105" t="str">
        <v>Non</v>
      </c>
      <c r="H105">
        <f>IF(C105&gt;500,"⚠ Facture &gt; 500 € — à relancer","")</f>
      </c>
      <c r="I105">
        <f>SUM($C$2:$C$120)-SUMIF($G$2:$G$120,"Oui",$C$2:$C$120)</f>
      </c>
      <c r="J105">
        <f>IF(I105&gt;500,"⚠ ENVOYER MESSAGE PAIEMENT","")</f>
      </c>
      <c r="K105" t="str">
        <v>Non</v>
      </c>
      <c r="L105" t="str">
        <v/>
      </c>
    </row>
    <row r="106">
      <c r="A106" t="str">
        <v/>
      </c>
      <c r="B106" t="str">
        <v/>
      </c>
      <c r="C106" t="str">
        <v/>
      </c>
      <c r="D106">
        <v>0</v>
      </c>
      <c r="E106">
        <f>E105+D106-C106</f>
      </c>
      <c r="F106">
        <f>IF(E106&lt;=0,"⚠ SOLDE ÉPUISÉ — faire verser 500 €","")</f>
      </c>
      <c r="G106" t="str">
        <v>Non</v>
      </c>
      <c r="H106">
        <f>IF(C106&gt;500,"⚠ Facture &gt; 500 € — à relancer","")</f>
      </c>
      <c r="I106">
        <f>SUM($C$2:$C$120)-SUMIF($G$2:$G$120,"Oui",$C$2:$C$120)</f>
      </c>
      <c r="J106">
        <f>IF(I106&gt;500,"⚠ ENVOYER MESSAGE PAIEMENT","")</f>
      </c>
      <c r="K106" t="str">
        <v>Non</v>
      </c>
      <c r="L106" t="str">
        <v/>
      </c>
    </row>
    <row r="107">
      <c r="A107" t="str">
        <v/>
      </c>
      <c r="B107" t="str">
        <v/>
      </c>
      <c r="C107" t="str">
        <v/>
      </c>
      <c r="D107">
        <v>0</v>
      </c>
      <c r="E107">
        <f>E106+D107-C107</f>
      </c>
      <c r="F107">
        <f>IF(E107&lt;=0,"⚠ SOLDE ÉPUISÉ — faire verser 500 €","")</f>
      </c>
      <c r="G107" t="str">
        <v>Non</v>
      </c>
      <c r="H107">
        <f>IF(C107&gt;500,"⚠ Facture &gt; 500 € — à relancer","")</f>
      </c>
      <c r="I107">
        <f>SUM($C$2:$C$120)-SUMIF($G$2:$G$120,"Oui",$C$2:$C$120)</f>
      </c>
      <c r="J107">
        <f>IF(I107&gt;500,"⚠ ENVOYER MESSAGE PAIEMENT","")</f>
      </c>
      <c r="K107" t="str">
        <v>Non</v>
      </c>
      <c r="L107" t="str">
        <v/>
      </c>
    </row>
    <row r="108">
      <c r="A108" t="str">
        <v/>
      </c>
      <c r="B108" t="str">
        <v/>
      </c>
      <c r="C108" t="str">
        <v/>
      </c>
      <c r="D108">
        <v>0</v>
      </c>
      <c r="E108">
        <f>E107+D108-C108</f>
      </c>
      <c r="F108">
        <f>IF(E108&lt;=0,"⚠ SOLDE ÉPUISÉ — faire verser 500 €","")</f>
      </c>
      <c r="G108" t="str">
        <v>Non</v>
      </c>
      <c r="H108">
        <f>IF(C108&gt;500,"⚠ Facture &gt; 500 € — à relancer","")</f>
      </c>
      <c r="I108">
        <f>SUM($C$2:$C$120)-SUMIF($G$2:$G$120,"Oui",$C$2:$C$120)</f>
      </c>
      <c r="J108">
        <f>IF(I108&gt;500,"⚠ ENVOYER MESSAGE PAIEMENT","")</f>
      </c>
      <c r="K108" t="str">
        <v>Non</v>
      </c>
      <c r="L108" t="str">
        <v/>
      </c>
    </row>
    <row r="109">
      <c r="A109" t="str">
        <v/>
      </c>
      <c r="B109" t="str">
        <v/>
      </c>
      <c r="C109" t="str">
        <v/>
      </c>
      <c r="D109">
        <v>0</v>
      </c>
      <c r="E109">
        <f>E108+D109-C109</f>
      </c>
      <c r="F109">
        <f>IF(E109&lt;=0,"⚠ SOLDE ÉPUISÉ — faire verser 500 €","")</f>
      </c>
      <c r="G109" t="str">
        <v>Non</v>
      </c>
      <c r="H109">
        <f>IF(C109&gt;500,"⚠ Facture &gt; 500 € — à relancer","")</f>
      </c>
      <c r="I109">
        <f>SUM($C$2:$C$120)-SUMIF($G$2:$G$120,"Oui",$C$2:$C$120)</f>
      </c>
      <c r="J109">
        <f>IF(I109&gt;500,"⚠ ENVOYER MESSAGE PAIEMENT","")</f>
      </c>
      <c r="K109" t="str">
        <v>Non</v>
      </c>
      <c r="L109" t="str">
        <v/>
      </c>
    </row>
    <row r="110">
      <c r="A110" t="str">
        <v/>
      </c>
      <c r="B110" t="str">
        <v/>
      </c>
      <c r="C110" t="str">
        <v/>
      </c>
      <c r="D110">
        <v>0</v>
      </c>
      <c r="E110">
        <f>E109+D110-C110</f>
      </c>
      <c r="F110">
        <f>IF(E110&lt;=0,"⚠ SOLDE ÉPUISÉ — faire verser 500 €","")</f>
      </c>
      <c r="G110" t="str">
        <v>Non</v>
      </c>
      <c r="H110">
        <f>IF(C110&gt;500,"⚠ Facture &gt; 500 € — à relancer","")</f>
      </c>
      <c r="I110">
        <f>SUM($C$2:$C$120)-SUMIF($G$2:$G$120,"Oui",$C$2:$C$120)</f>
      </c>
      <c r="J110">
        <f>IF(I110&gt;500,"⚠ ENVOYER MESSAGE PAIEMENT","")</f>
      </c>
      <c r="K110" t="str">
        <v>Non</v>
      </c>
      <c r="L110" t="str">
        <v/>
      </c>
    </row>
    <row r="111">
      <c r="A111" t="str">
        <v/>
      </c>
      <c r="B111" t="str">
        <v/>
      </c>
      <c r="C111" t="str">
        <v/>
      </c>
      <c r="D111">
        <v>0</v>
      </c>
      <c r="E111">
        <f>E110+D111-C111</f>
      </c>
      <c r="F111">
        <f>IF(E111&lt;=0,"⚠ SOLDE ÉPUISÉ — faire verser 500 €","")</f>
      </c>
      <c r="G111" t="str">
        <v>Non</v>
      </c>
      <c r="H111">
        <f>IF(C111&gt;500,"⚠ Facture &gt; 500 € — à relancer","")</f>
      </c>
      <c r="I111">
        <f>SUM($C$2:$C$120)-SUMIF($G$2:$G$120,"Oui",$C$2:$C$120)</f>
      </c>
      <c r="J111">
        <f>IF(I111&gt;500,"⚠ ENVOYER MESSAGE PAIEMENT","")</f>
      </c>
      <c r="K111" t="str">
        <v>Non</v>
      </c>
      <c r="L111" t="str">
        <v/>
      </c>
    </row>
    <row r="112">
      <c r="A112" t="str">
        <v/>
      </c>
      <c r="B112" t="str">
        <v/>
      </c>
      <c r="C112" t="str">
        <v/>
      </c>
      <c r="D112">
        <v>0</v>
      </c>
      <c r="E112">
        <f>E111+D112-C112</f>
      </c>
      <c r="F112">
        <f>IF(E112&lt;=0,"⚠ SOLDE ÉPUISÉ — faire verser 500 €","")</f>
      </c>
      <c r="G112" t="str">
        <v>Non</v>
      </c>
      <c r="H112">
        <f>IF(C112&gt;500,"⚠ Facture &gt; 500 € — à relancer","")</f>
      </c>
      <c r="I112">
        <f>SUM($C$2:$C$120)-SUMIF($G$2:$G$120,"Oui",$C$2:$C$120)</f>
      </c>
      <c r="J112">
        <f>IF(I112&gt;500,"⚠ ENVOYER MESSAGE PAIEMENT","")</f>
      </c>
      <c r="K112" t="str">
        <v>Non</v>
      </c>
      <c r="L112" t="str">
        <v/>
      </c>
    </row>
    <row r="113">
      <c r="A113" t="str">
        <v/>
      </c>
      <c r="B113" t="str">
        <v/>
      </c>
      <c r="C113" t="str">
        <v/>
      </c>
      <c r="D113">
        <v>0</v>
      </c>
      <c r="E113">
        <f>E112+D113-C113</f>
      </c>
      <c r="F113">
        <f>IF(E113&lt;=0,"⚠ SOLDE ÉPUISÉ — faire verser 500 €","")</f>
      </c>
      <c r="G113" t="str">
        <v>Non</v>
      </c>
      <c r="H113">
        <f>IF(C113&gt;500,"⚠ Facture &gt; 500 € — à relancer","")</f>
      </c>
      <c r="I113">
        <f>SUM($C$2:$C$120)-SUMIF($G$2:$G$120,"Oui",$C$2:$C$120)</f>
      </c>
      <c r="J113">
        <f>IF(I113&gt;500,"⚠ ENVOYER MESSAGE PAIEMENT","")</f>
      </c>
      <c r="K113" t="str">
        <v>Non</v>
      </c>
      <c r="L113" t="str">
        <v/>
      </c>
    </row>
    <row r="114">
      <c r="A114" t="str">
        <v/>
      </c>
      <c r="B114" t="str">
        <v/>
      </c>
      <c r="C114" t="str">
        <v/>
      </c>
      <c r="D114">
        <v>0</v>
      </c>
      <c r="E114">
        <f>E113+D114-C114</f>
      </c>
      <c r="F114">
        <f>IF(E114&lt;=0,"⚠ SOLDE ÉPUISÉ — faire verser 500 €","")</f>
      </c>
      <c r="G114" t="str">
        <v>Non</v>
      </c>
      <c r="H114">
        <f>IF(C114&gt;500,"⚠ Facture &gt; 500 € — à relancer","")</f>
      </c>
      <c r="I114">
        <f>SUM($C$2:$C$120)-SUMIF($G$2:$G$120,"Oui",$C$2:$C$120)</f>
      </c>
      <c r="J114">
        <f>IF(I114&gt;500,"⚠ ENVOYER MESSAGE PAIEMENT","")</f>
      </c>
      <c r="K114" t="str">
        <v>Non</v>
      </c>
      <c r="L114" t="str">
        <v/>
      </c>
    </row>
    <row r="115">
      <c r="A115" t="str">
        <v/>
      </c>
      <c r="B115" t="str">
        <v/>
      </c>
      <c r="C115" t="str">
        <v/>
      </c>
      <c r="D115">
        <v>0</v>
      </c>
      <c r="E115">
        <f>E114+D115-C115</f>
      </c>
      <c r="F115">
        <f>IF(E115&lt;=0,"⚠ SOLDE ÉPUISÉ — faire verser 500 €","")</f>
      </c>
      <c r="G115" t="str">
        <v>Non</v>
      </c>
      <c r="H115">
        <f>IF(C115&gt;500,"⚠ Facture &gt; 500 € — à relancer","")</f>
      </c>
      <c r="I115">
        <f>SUM($C$2:$C$120)-SUMIF($G$2:$G$120,"Oui",$C$2:$C$120)</f>
      </c>
      <c r="J115">
        <f>IF(I115&gt;500,"⚠ ENVOYER MESSAGE PAIEMENT","")</f>
      </c>
      <c r="K115" t="str">
        <v>Non</v>
      </c>
      <c r="L115" t="str">
        <v/>
      </c>
    </row>
    <row r="116">
      <c r="A116" t="str">
        <v/>
      </c>
      <c r="B116" t="str">
        <v/>
      </c>
      <c r="C116" t="str">
        <v/>
      </c>
      <c r="D116">
        <v>0</v>
      </c>
      <c r="E116">
        <f>E115+D116-C116</f>
      </c>
      <c r="F116">
        <f>IF(E116&lt;=0,"⚠ SOLDE ÉPUISÉ — faire verser 500 €","")</f>
      </c>
      <c r="G116" t="str">
        <v>Non</v>
      </c>
      <c r="H116">
        <f>IF(C116&gt;500,"⚠ Facture &gt; 500 € — à relancer","")</f>
      </c>
      <c r="I116">
        <f>SUM($C$2:$C$120)-SUMIF($G$2:$G$120,"Oui",$C$2:$C$120)</f>
      </c>
      <c r="J116">
        <f>IF(I116&gt;500,"⚠ ENVOYER MESSAGE PAIEMENT","")</f>
      </c>
      <c r="K116" t="str">
        <v>Non</v>
      </c>
      <c r="L116" t="str">
        <v/>
      </c>
    </row>
    <row r="117">
      <c r="A117" t="str">
        <v/>
      </c>
      <c r="B117" t="str">
        <v/>
      </c>
      <c r="C117" t="str">
        <v/>
      </c>
      <c r="D117">
        <v>0</v>
      </c>
      <c r="E117">
        <f>E116+D117-C117</f>
      </c>
      <c r="F117">
        <f>IF(E117&lt;=0,"⚠ SOLDE ÉPUISÉ — faire verser 500 €","")</f>
      </c>
      <c r="G117" t="str">
        <v>Non</v>
      </c>
      <c r="H117">
        <f>IF(C117&gt;500,"⚠ Facture &gt; 500 € — à relancer","")</f>
      </c>
      <c r="I117">
        <f>SUM($C$2:$C$120)-SUMIF($G$2:$G$120,"Oui",$C$2:$C$120)</f>
      </c>
      <c r="J117">
        <f>IF(I117&gt;500,"⚠ ENVOYER MESSAGE PAIEMENT","")</f>
      </c>
      <c r="K117" t="str">
        <v>Non</v>
      </c>
      <c r="L117" t="str">
        <v/>
      </c>
    </row>
    <row r="118">
      <c r="A118" t="str">
        <v/>
      </c>
      <c r="B118" t="str">
        <v/>
      </c>
      <c r="C118" t="str">
        <v/>
      </c>
      <c r="D118">
        <v>0</v>
      </c>
      <c r="E118">
        <f>E117+D118-C118</f>
      </c>
      <c r="F118">
        <f>IF(E118&lt;=0,"⚠ SOLDE ÉPUISÉ — faire verser 500 €","")</f>
      </c>
      <c r="G118" t="str">
        <v>Non</v>
      </c>
      <c r="H118">
        <f>IF(C118&gt;500,"⚠ Facture &gt; 500 € — à relancer","")</f>
      </c>
      <c r="I118">
        <f>SUM($C$2:$C$120)-SUMIF($G$2:$G$120,"Oui",$C$2:$C$120)</f>
      </c>
      <c r="J118">
        <f>IF(I118&gt;500,"⚠ ENVOYER MESSAGE PAIEMENT","")</f>
      </c>
      <c r="K118" t="str">
        <v>Non</v>
      </c>
      <c r="L118" t="str">
        <v/>
      </c>
    </row>
    <row r="119">
      <c r="A119" t="str">
        <v/>
      </c>
      <c r="B119" t="str">
        <v/>
      </c>
      <c r="C119" t="str">
        <v/>
      </c>
      <c r="D119">
        <v>0</v>
      </c>
      <c r="E119">
        <f>E118+D119-C119</f>
      </c>
      <c r="F119">
        <f>IF(E119&lt;=0,"⚠ SOLDE ÉPUISÉ — faire verser 500 €","")</f>
      </c>
      <c r="G119" t="str">
        <v>Non</v>
      </c>
      <c r="H119">
        <f>IF(C119&gt;500,"⚠ Facture &gt; 500 € — à relancer","")</f>
      </c>
      <c r="I119">
        <f>SUM($C$2:$C$120)-SUMIF($G$2:$G$120,"Oui",$C$2:$C$120)</f>
      </c>
      <c r="J119">
        <f>IF(I119&gt;500,"⚠ ENVOYER MESSAGE PAIEMENT","")</f>
      </c>
      <c r="K119" t="str">
        <v>Non</v>
      </c>
      <c r="L119" t="str">
        <v/>
      </c>
    </row>
    <row r="120">
      <c r="A120" t="str">
        <v/>
      </c>
      <c r="B120" t="str">
        <v/>
      </c>
      <c r="C120" t="str">
        <v/>
      </c>
      <c r="D120">
        <v>0</v>
      </c>
      <c r="E120">
        <f>E119+D120-C120</f>
      </c>
      <c r="F120">
        <f>IF(E120&lt;=0,"⚠ SOLDE ÉPUISÉ — faire verser 500 €","")</f>
      </c>
      <c r="G120" t="str">
        <v>Non</v>
      </c>
      <c r="H120">
        <f>IF(C120&gt;500,"⚠ Facture &gt; 500 € — à relancer","")</f>
      </c>
      <c r="I120">
        <f>SUM($C$2:$C$120)-SUMIF($G$2:$G$120,"Oui",$C$2:$C$120)</f>
      </c>
      <c r="J120">
        <f>IF(I120&gt;500,"⚠ ENVOYER MESSAGE PAIEMENT","")</f>
      </c>
      <c r="K120" t="str">
        <v>Non</v>
      </c>
      <c r="L120" t="str">
        <v/>
      </c>
    </row>
  </sheetData>
  <ignoredErrors>
    <ignoredError numberStoredAsText="1" sqref="A1:L1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20"/>
  <sheetViews>
    <sheetView workbookViewId="0"/>
  </sheetViews>
  <cols>
    <col min="1" max="1" width="12.83203125" customWidth="1"/>
    <col min="2" max="2" width="18.83203125" customWidth="1"/>
    <col min="3" max="3" width="10.83203125" customWidth="1"/>
    <col min="4" max="4" width="14.83203125" customWidth="1"/>
    <col min="5" max="5" width="12.83203125" customWidth="1"/>
    <col min="6" max="6" width="28.83203125" customWidth="1"/>
    <col min="7" max="7" width="10.83203125" customWidth="1"/>
    <col min="8" max="8" width="26.83203125" customWidth="1"/>
    <col min="9" max="9" width="14.83203125" customWidth="1"/>
    <col min="10" max="10" width="26.83203125" customWidth="1"/>
    <col min="11" max="11" width="14.83203125" customWidth="1"/>
    <col min="12" max="12" width="12.83203125" customWidth="1"/>
  </cols>
  <sheetData>
    <row r="1">
      <c r="A1" t="str">
        <v>Date facture</v>
      </c>
      <c r="B1" t="str">
        <v>N° facture</v>
      </c>
      <c r="C1" t="str">
        <v>Montant facture (€)</v>
      </c>
      <c r="D1" t="str">
        <v>Versement (€)</v>
      </c>
      <c r="E1" t="str">
        <v>Solde (€)</v>
      </c>
      <c r="F1" t="str">
        <v>Alerte solde</v>
      </c>
      <c r="G1" t="str">
        <v>Payé ? (Oui / Non)</v>
      </c>
      <c r="H1" t="str">
        <v>Alerte facture &gt; 500 €</v>
      </c>
      <c r="I1" t="str">
        <v>Encours impayé (€)</v>
      </c>
      <c r="J1" t="str">
        <v>Alerte encours</v>
      </c>
      <c r="K1" t="str">
        <v>Message envoyé ?</v>
      </c>
      <c r="L1" t="str">
        <v>Date relance</v>
      </c>
    </row>
    <row r="2">
      <c r="A2" t="str">
        <v>2026-01-01</v>
      </c>
      <c r="B2" t="str">
        <v>FAC-MYFRENCHC-2026-01</v>
      </c>
      <c r="C2" t="str">
        <v/>
      </c>
      <c r="D2">
        <v>500</v>
      </c>
      <c r="E2">
        <f>D2-C2</f>
      </c>
      <c r="F2">
        <f>IF(E2&lt;=0,"⚠ SOLDE ÉPUISÉ — faire verser 500 €","")</f>
      </c>
      <c r="G2" t="str">
        <v>Non</v>
      </c>
      <c r="H2">
        <f>IF(C2&gt;500,"⚠ Facture &gt; 500 € — à relancer","")</f>
      </c>
      <c r="I2">
        <f>SUM($C$2:$C$120)-SUMIF($G$2:$G$120,"Oui",$C$2:$C$120)</f>
      </c>
      <c r="J2">
        <f>IF(I2&gt;500,"⚠ ENVOYER MESSAGE PAIEMENT","")</f>
      </c>
      <c r="K2" t="str">
        <v>Non</v>
      </c>
      <c r="L2" t="str">
        <v/>
      </c>
    </row>
    <row r="3">
      <c r="A3" t="str">
        <v>2026-02-01</v>
      </c>
      <c r="B3" t="str">
        <v>FAC-MYFRENCHC-2026-02</v>
      </c>
      <c r="C3" t="str">
        <v/>
      </c>
      <c r="D3">
        <v>0</v>
      </c>
      <c r="E3">
        <f>E2+D3-C3</f>
      </c>
      <c r="F3">
        <f>IF(E3&lt;=0,"⚠ SOLDE ÉPUISÉ — faire verser 500 €","")</f>
      </c>
      <c r="G3" t="str">
        <v>Non</v>
      </c>
      <c r="H3">
        <f>IF(C3&gt;500,"⚠ Facture &gt; 500 € — à relancer","")</f>
      </c>
      <c r="I3">
        <f>SUM($C$2:$C$120)-SUMIF($G$2:$G$120,"Oui",$C$2:$C$120)</f>
      </c>
      <c r="J3">
        <f>IF(I3&gt;500,"⚠ ENVOYER MESSAGE PAIEMENT","")</f>
      </c>
      <c r="K3" t="str">
        <v>Non</v>
      </c>
      <c r="L3" t="str">
        <v/>
      </c>
    </row>
    <row r="4">
      <c r="A4" t="str">
        <v>2026-03-01</v>
      </c>
      <c r="B4" t="str">
        <v>FAC-MYFRENCHC-2026-03</v>
      </c>
      <c r="C4" t="str">
        <v/>
      </c>
      <c r="D4">
        <v>0</v>
      </c>
      <c r="E4">
        <f>E3+D4-C4</f>
      </c>
      <c r="F4">
        <f>IF(E4&lt;=0,"⚠ SOLDE ÉPUISÉ — faire verser 500 €","")</f>
      </c>
      <c r="G4" t="str">
        <v>Non</v>
      </c>
      <c r="H4">
        <f>IF(C4&gt;500,"⚠ Facture &gt; 500 € — à relancer","")</f>
      </c>
      <c r="I4">
        <f>SUM($C$2:$C$120)-SUMIF($G$2:$G$120,"Oui",$C$2:$C$120)</f>
      </c>
      <c r="J4">
        <f>IF(I4&gt;500,"⚠ ENVOYER MESSAGE PAIEMENT","")</f>
      </c>
      <c r="K4" t="str">
        <v>Non</v>
      </c>
      <c r="L4" t="str">
        <v/>
      </c>
    </row>
    <row r="5">
      <c r="A5" t="str">
        <v>2026-04-01</v>
      </c>
      <c r="B5" t="str">
        <v>FAC-MYFRENCHC-2026-04</v>
      </c>
      <c r="C5" t="str">
        <v/>
      </c>
      <c r="D5">
        <v>0</v>
      </c>
      <c r="E5">
        <f>E4+D5-C5</f>
      </c>
      <c r="F5">
        <f>IF(E5&lt;=0,"⚠ SOLDE ÉPUISÉ — faire verser 500 €","")</f>
      </c>
      <c r="G5" t="str">
        <v>Non</v>
      </c>
      <c r="H5">
        <f>IF(C5&gt;500,"⚠ Facture &gt; 500 € — à relancer","")</f>
      </c>
      <c r="I5">
        <f>SUM($C$2:$C$120)-SUMIF($G$2:$G$120,"Oui",$C$2:$C$120)</f>
      </c>
      <c r="J5">
        <f>IF(I5&gt;500,"⚠ ENVOYER MESSAGE PAIEMENT","")</f>
      </c>
      <c r="K5" t="str">
        <v>Non</v>
      </c>
      <c r="L5" t="str">
        <v/>
      </c>
    </row>
    <row r="6">
      <c r="A6" t="str">
        <v>2026-05-01</v>
      </c>
      <c r="B6" t="str">
        <v>FAC-MYFRENCHC-2026-05</v>
      </c>
      <c r="C6" t="str">
        <v/>
      </c>
      <c r="D6">
        <v>0</v>
      </c>
      <c r="E6">
        <f>E5+D6-C6</f>
      </c>
      <c r="F6">
        <f>IF(E6&lt;=0,"⚠ SOLDE ÉPUISÉ — faire verser 500 €","")</f>
      </c>
      <c r="G6" t="str">
        <v>Non</v>
      </c>
      <c r="H6">
        <f>IF(C6&gt;500,"⚠ Facture &gt; 500 € — à relancer","")</f>
      </c>
      <c r="I6">
        <f>SUM($C$2:$C$120)-SUMIF($G$2:$G$120,"Oui",$C$2:$C$120)</f>
      </c>
      <c r="J6">
        <f>IF(I6&gt;500,"⚠ ENVOYER MESSAGE PAIEMENT","")</f>
      </c>
      <c r="K6" t="str">
        <v>Non</v>
      </c>
      <c r="L6" t="str">
        <v/>
      </c>
    </row>
    <row r="7">
      <c r="A7" t="str">
        <v>2026-06-01</v>
      </c>
      <c r="B7" t="str">
        <v>FAC-MYFRENCHC-2026-06</v>
      </c>
      <c r="C7" t="str">
        <v/>
      </c>
      <c r="D7">
        <v>0</v>
      </c>
      <c r="E7">
        <f>E6+D7-C7</f>
      </c>
      <c r="F7">
        <f>IF(E7&lt;=0,"⚠ SOLDE ÉPUISÉ — faire verser 500 €","")</f>
      </c>
      <c r="G7" t="str">
        <v>Non</v>
      </c>
      <c r="H7">
        <f>IF(C7&gt;500,"⚠ Facture &gt; 500 € — à relancer","")</f>
      </c>
      <c r="I7">
        <f>SUM($C$2:$C$120)-SUMIF($G$2:$G$120,"Oui",$C$2:$C$120)</f>
      </c>
      <c r="J7">
        <f>IF(I7&gt;500,"⚠ ENVOYER MESSAGE PAIEMENT","")</f>
      </c>
      <c r="K7" t="str">
        <v>Non</v>
      </c>
      <c r="L7" t="str">
        <v/>
      </c>
    </row>
    <row r="8">
      <c r="A8" t="str">
        <v>2026-07-01</v>
      </c>
      <c r="B8" t="str">
        <v>FAC-MYFRENCHC-2026-07</v>
      </c>
      <c r="C8" t="str">
        <v/>
      </c>
      <c r="D8">
        <v>0</v>
      </c>
      <c r="E8">
        <f>E7+D8-C8</f>
      </c>
      <c r="F8">
        <f>IF(E8&lt;=0,"⚠ SOLDE ÉPUISÉ — faire verser 500 €","")</f>
      </c>
      <c r="G8" t="str">
        <v>Non</v>
      </c>
      <c r="H8">
        <f>IF(C8&gt;500,"⚠ Facture &gt; 500 € — à relancer","")</f>
      </c>
      <c r="I8">
        <f>SUM($C$2:$C$120)-SUMIF($G$2:$G$120,"Oui",$C$2:$C$120)</f>
      </c>
      <c r="J8">
        <f>IF(I8&gt;500,"⚠ ENVOYER MESSAGE PAIEMENT","")</f>
      </c>
      <c r="K8" t="str">
        <v>Non</v>
      </c>
      <c r="L8" t="str">
        <v/>
      </c>
    </row>
    <row r="9">
      <c r="A9" t="str">
        <v>2026-08-01</v>
      </c>
      <c r="B9" t="str">
        <v>FAC-MYFRENCHC-2026-08</v>
      </c>
      <c r="C9" t="str">
        <v/>
      </c>
      <c r="D9">
        <v>0</v>
      </c>
      <c r="E9">
        <f>E8+D9-C9</f>
      </c>
      <c r="F9">
        <f>IF(E9&lt;=0,"⚠ SOLDE ÉPUISÉ — faire verser 500 €","")</f>
      </c>
      <c r="G9" t="str">
        <v>Non</v>
      </c>
      <c r="H9">
        <f>IF(C9&gt;500,"⚠ Facture &gt; 500 € — à relancer","")</f>
      </c>
      <c r="I9">
        <f>SUM($C$2:$C$120)-SUMIF($G$2:$G$120,"Oui",$C$2:$C$120)</f>
      </c>
      <c r="J9">
        <f>IF(I9&gt;500,"⚠ ENVOYER MESSAGE PAIEMENT","")</f>
      </c>
      <c r="K9" t="str">
        <v>Non</v>
      </c>
      <c r="L9" t="str">
        <v/>
      </c>
    </row>
    <row r="10">
      <c r="A10" t="str">
        <v>2026-09-01</v>
      </c>
      <c r="B10" t="str">
        <v>FAC-MYFRENCHC-2026-09</v>
      </c>
      <c r="C10" t="str">
        <v/>
      </c>
      <c r="D10">
        <v>0</v>
      </c>
      <c r="E10">
        <f>E9+D10-C10</f>
      </c>
      <c r="F10">
        <f>IF(E10&lt;=0,"⚠ SOLDE ÉPUISÉ — faire verser 500 €","")</f>
      </c>
      <c r="G10" t="str">
        <v>Non</v>
      </c>
      <c r="H10">
        <f>IF(C10&gt;500,"⚠ Facture &gt; 500 € — à relancer","")</f>
      </c>
      <c r="I10">
        <f>SUM($C$2:$C$120)-SUMIF($G$2:$G$120,"Oui",$C$2:$C$120)</f>
      </c>
      <c r="J10">
        <f>IF(I10&gt;500,"⚠ ENVOYER MESSAGE PAIEMENT","")</f>
      </c>
      <c r="K10" t="str">
        <v>Non</v>
      </c>
      <c r="L10" t="str">
        <v/>
      </c>
    </row>
    <row r="11">
      <c r="A11" t="str">
        <v>2026-10-01</v>
      </c>
      <c r="B11" t="str">
        <v>FAC-MYFRENCHC-2026-10</v>
      </c>
      <c r="C11" t="str">
        <v/>
      </c>
      <c r="D11">
        <v>0</v>
      </c>
      <c r="E11">
        <f>E10+D11-C11</f>
      </c>
      <c r="F11">
        <f>IF(E11&lt;=0,"⚠ SOLDE ÉPUISÉ — faire verser 500 €","")</f>
      </c>
      <c r="G11" t="str">
        <v>Non</v>
      </c>
      <c r="H11">
        <f>IF(C11&gt;500,"⚠ Facture &gt; 500 € — à relancer","")</f>
      </c>
      <c r="I11">
        <f>SUM($C$2:$C$120)-SUMIF($G$2:$G$120,"Oui",$C$2:$C$120)</f>
      </c>
      <c r="J11">
        <f>IF(I11&gt;500,"⚠ ENVOYER MESSAGE PAIEMENT","")</f>
      </c>
      <c r="K11" t="str">
        <v>Non</v>
      </c>
      <c r="L11" t="str">
        <v/>
      </c>
    </row>
    <row r="12">
      <c r="A12" t="str">
        <v>2026-11-01</v>
      </c>
      <c r="B12" t="str">
        <v>FAC-MYFRENCHC-2026-11</v>
      </c>
      <c r="C12" t="str">
        <v/>
      </c>
      <c r="D12">
        <v>0</v>
      </c>
      <c r="E12">
        <f>E11+D12-C12</f>
      </c>
      <c r="F12">
        <f>IF(E12&lt;=0,"⚠ SOLDE ÉPUISÉ — faire verser 500 €","")</f>
      </c>
      <c r="G12" t="str">
        <v>Non</v>
      </c>
      <c r="H12">
        <f>IF(C12&gt;500,"⚠ Facture &gt; 500 € — à relancer","")</f>
      </c>
      <c r="I12">
        <f>SUM($C$2:$C$120)-SUMIF($G$2:$G$120,"Oui",$C$2:$C$120)</f>
      </c>
      <c r="J12">
        <f>IF(I12&gt;500,"⚠ ENVOYER MESSAGE PAIEMENT","")</f>
      </c>
      <c r="K12" t="str">
        <v>Non</v>
      </c>
      <c r="L12" t="str">
        <v/>
      </c>
    </row>
    <row r="13">
      <c r="A13" t="str">
        <v>2026-12-01</v>
      </c>
      <c r="B13" t="str">
        <v>FAC-MYFRENCHC-2026-12</v>
      </c>
      <c r="C13" t="str">
        <v/>
      </c>
      <c r="D13">
        <v>0</v>
      </c>
      <c r="E13">
        <f>E12+D13-C13</f>
      </c>
      <c r="F13">
        <f>IF(E13&lt;=0,"⚠ SOLDE ÉPUISÉ — faire verser 500 €","")</f>
      </c>
      <c r="G13" t="str">
        <v>Non</v>
      </c>
      <c r="H13">
        <f>IF(C13&gt;500,"⚠ Facture &gt; 500 € — à relancer","")</f>
      </c>
      <c r="I13">
        <f>SUM($C$2:$C$120)-SUMIF($G$2:$G$120,"Oui",$C$2:$C$120)</f>
      </c>
      <c r="J13">
        <f>IF(I13&gt;500,"⚠ ENVOYER MESSAGE PAIEMENT","")</f>
      </c>
      <c r="K13" t="str">
        <v>Non</v>
      </c>
      <c r="L13" t="str">
        <v/>
      </c>
    </row>
    <row r="14">
      <c r="A14" t="str">
        <v/>
      </c>
      <c r="B14" t="str">
        <v/>
      </c>
      <c r="C14" t="str">
        <v/>
      </c>
      <c r="D14">
        <v>0</v>
      </c>
      <c r="E14">
        <f>E13+D14-C14</f>
      </c>
      <c r="F14">
        <f>IF(E14&lt;=0,"⚠ SOLDE ÉPUISÉ — faire verser 500 €","")</f>
      </c>
      <c r="G14" t="str">
        <v>Non</v>
      </c>
      <c r="H14">
        <f>IF(C14&gt;500,"⚠ Facture &gt; 500 € — à relancer","")</f>
      </c>
      <c r="I14">
        <f>SUM($C$2:$C$120)-SUMIF($G$2:$G$120,"Oui",$C$2:$C$120)</f>
      </c>
      <c r="J14">
        <f>IF(I14&gt;500,"⚠ ENVOYER MESSAGE PAIEMENT","")</f>
      </c>
      <c r="K14" t="str">
        <v>Non</v>
      </c>
      <c r="L14" t="str">
        <v/>
      </c>
    </row>
    <row r="15">
      <c r="A15" t="str">
        <v/>
      </c>
      <c r="B15" t="str">
        <v/>
      </c>
      <c r="C15" t="str">
        <v/>
      </c>
      <c r="D15">
        <v>0</v>
      </c>
      <c r="E15">
        <f>E14+D15-C15</f>
      </c>
      <c r="F15">
        <f>IF(E15&lt;=0,"⚠ SOLDE ÉPUISÉ — faire verser 500 €","")</f>
      </c>
      <c r="G15" t="str">
        <v>Non</v>
      </c>
      <c r="H15">
        <f>IF(C15&gt;500,"⚠ Facture &gt; 500 € — à relancer","")</f>
      </c>
      <c r="I15">
        <f>SUM($C$2:$C$120)-SUMIF($G$2:$G$120,"Oui",$C$2:$C$120)</f>
      </c>
      <c r="J15">
        <f>IF(I15&gt;500,"⚠ ENVOYER MESSAGE PAIEMENT","")</f>
      </c>
      <c r="K15" t="str">
        <v>Non</v>
      </c>
      <c r="L15" t="str">
        <v/>
      </c>
    </row>
    <row r="16">
      <c r="A16" t="str">
        <v/>
      </c>
      <c r="B16" t="str">
        <v/>
      </c>
      <c r="C16" t="str">
        <v/>
      </c>
      <c r="D16">
        <v>0</v>
      </c>
      <c r="E16">
        <f>E15+D16-C16</f>
      </c>
      <c r="F16">
        <f>IF(E16&lt;=0,"⚠ SOLDE ÉPUISÉ — faire verser 500 €","")</f>
      </c>
      <c r="G16" t="str">
        <v>Non</v>
      </c>
      <c r="H16">
        <f>IF(C16&gt;500,"⚠ Facture &gt; 500 € — à relancer","")</f>
      </c>
      <c r="I16">
        <f>SUM($C$2:$C$120)-SUMIF($G$2:$G$120,"Oui",$C$2:$C$120)</f>
      </c>
      <c r="J16">
        <f>IF(I16&gt;500,"⚠ ENVOYER MESSAGE PAIEMENT","")</f>
      </c>
      <c r="K16" t="str">
        <v>Non</v>
      </c>
      <c r="L16" t="str">
        <v/>
      </c>
    </row>
    <row r="17">
      <c r="A17" t="str">
        <v/>
      </c>
      <c r="B17" t="str">
        <v/>
      </c>
      <c r="C17" t="str">
        <v/>
      </c>
      <c r="D17">
        <v>0</v>
      </c>
      <c r="E17">
        <f>E16+D17-C17</f>
      </c>
      <c r="F17">
        <f>IF(E17&lt;=0,"⚠ SOLDE ÉPUISÉ — faire verser 500 €","")</f>
      </c>
      <c r="G17" t="str">
        <v>Non</v>
      </c>
      <c r="H17">
        <f>IF(C17&gt;500,"⚠ Facture &gt; 500 € — à relancer","")</f>
      </c>
      <c r="I17">
        <f>SUM($C$2:$C$120)-SUMIF($G$2:$G$120,"Oui",$C$2:$C$120)</f>
      </c>
      <c r="J17">
        <f>IF(I17&gt;500,"⚠ ENVOYER MESSAGE PAIEMENT","")</f>
      </c>
      <c r="K17" t="str">
        <v>Non</v>
      </c>
      <c r="L17" t="str">
        <v/>
      </c>
    </row>
    <row r="18">
      <c r="A18" t="str">
        <v/>
      </c>
      <c r="B18" t="str">
        <v/>
      </c>
      <c r="C18" t="str">
        <v/>
      </c>
      <c r="D18">
        <v>0</v>
      </c>
      <c r="E18">
        <f>E17+D18-C18</f>
      </c>
      <c r="F18">
        <f>IF(E18&lt;=0,"⚠ SOLDE ÉPUISÉ — faire verser 500 €","")</f>
      </c>
      <c r="G18" t="str">
        <v>Non</v>
      </c>
      <c r="H18">
        <f>IF(C18&gt;500,"⚠ Facture &gt; 500 € — à relancer","")</f>
      </c>
      <c r="I18">
        <f>SUM($C$2:$C$120)-SUMIF($G$2:$G$120,"Oui",$C$2:$C$120)</f>
      </c>
      <c r="J18">
        <f>IF(I18&gt;500,"⚠ ENVOYER MESSAGE PAIEMENT","")</f>
      </c>
      <c r="K18" t="str">
        <v>Non</v>
      </c>
      <c r="L18" t="str">
        <v/>
      </c>
    </row>
    <row r="19">
      <c r="A19" t="str">
        <v/>
      </c>
      <c r="B19" t="str">
        <v/>
      </c>
      <c r="C19" t="str">
        <v/>
      </c>
      <c r="D19">
        <v>0</v>
      </c>
      <c r="E19">
        <f>E18+D19-C19</f>
      </c>
      <c r="F19">
        <f>IF(E19&lt;=0,"⚠ SOLDE ÉPUISÉ — faire verser 500 €","")</f>
      </c>
      <c r="G19" t="str">
        <v>Non</v>
      </c>
      <c r="H19">
        <f>IF(C19&gt;500,"⚠ Facture &gt; 500 € — à relancer","")</f>
      </c>
      <c r="I19">
        <f>SUM($C$2:$C$120)-SUMIF($G$2:$G$120,"Oui",$C$2:$C$120)</f>
      </c>
      <c r="J19">
        <f>IF(I19&gt;500,"⚠ ENVOYER MESSAGE PAIEMENT","")</f>
      </c>
      <c r="K19" t="str">
        <v>Non</v>
      </c>
      <c r="L19" t="str">
        <v/>
      </c>
    </row>
    <row r="20">
      <c r="A20" t="str">
        <v/>
      </c>
      <c r="B20" t="str">
        <v/>
      </c>
      <c r="C20" t="str">
        <v/>
      </c>
      <c r="D20">
        <v>0</v>
      </c>
      <c r="E20">
        <f>E19+D20-C20</f>
      </c>
      <c r="F20">
        <f>IF(E20&lt;=0,"⚠ SOLDE ÉPUISÉ — faire verser 500 €","")</f>
      </c>
      <c r="G20" t="str">
        <v>Non</v>
      </c>
      <c r="H20">
        <f>IF(C20&gt;500,"⚠ Facture &gt; 500 € — à relancer","")</f>
      </c>
      <c r="I20">
        <f>SUM($C$2:$C$120)-SUMIF($G$2:$G$120,"Oui",$C$2:$C$120)</f>
      </c>
      <c r="J20">
        <f>IF(I20&gt;500,"⚠ ENVOYER MESSAGE PAIEMENT","")</f>
      </c>
      <c r="K20" t="str">
        <v>Non</v>
      </c>
      <c r="L20" t="str">
        <v/>
      </c>
    </row>
    <row r="21">
      <c r="A21" t="str">
        <v/>
      </c>
      <c r="B21" t="str">
        <v/>
      </c>
      <c r="C21" t="str">
        <v/>
      </c>
      <c r="D21">
        <v>0</v>
      </c>
      <c r="E21">
        <f>E20+D21-C21</f>
      </c>
      <c r="F21">
        <f>IF(E21&lt;=0,"⚠ SOLDE ÉPUISÉ — faire verser 500 €","")</f>
      </c>
      <c r="G21" t="str">
        <v>Non</v>
      </c>
      <c r="H21">
        <f>IF(C21&gt;500,"⚠ Facture &gt; 500 € — à relancer","")</f>
      </c>
      <c r="I21">
        <f>SUM($C$2:$C$120)-SUMIF($G$2:$G$120,"Oui",$C$2:$C$120)</f>
      </c>
      <c r="J21">
        <f>IF(I21&gt;500,"⚠ ENVOYER MESSAGE PAIEMENT","")</f>
      </c>
      <c r="K21" t="str">
        <v>Non</v>
      </c>
      <c r="L21" t="str">
        <v/>
      </c>
    </row>
    <row r="22">
      <c r="A22" t="str">
        <v/>
      </c>
      <c r="B22" t="str">
        <v/>
      </c>
      <c r="C22" t="str">
        <v/>
      </c>
      <c r="D22">
        <v>0</v>
      </c>
      <c r="E22">
        <f>E21+D22-C22</f>
      </c>
      <c r="F22">
        <f>IF(E22&lt;=0,"⚠ SOLDE ÉPUISÉ — faire verser 500 €","")</f>
      </c>
      <c r="G22" t="str">
        <v>Non</v>
      </c>
      <c r="H22">
        <f>IF(C22&gt;500,"⚠ Facture &gt; 500 € — à relancer","")</f>
      </c>
      <c r="I22">
        <f>SUM($C$2:$C$120)-SUMIF($G$2:$G$120,"Oui",$C$2:$C$120)</f>
      </c>
      <c r="J22">
        <f>IF(I22&gt;500,"⚠ ENVOYER MESSAGE PAIEMENT","")</f>
      </c>
      <c r="K22" t="str">
        <v>Non</v>
      </c>
      <c r="L22" t="str">
        <v/>
      </c>
    </row>
    <row r="23">
      <c r="A23" t="str">
        <v/>
      </c>
      <c r="B23" t="str">
        <v/>
      </c>
      <c r="C23" t="str">
        <v/>
      </c>
      <c r="D23">
        <v>0</v>
      </c>
      <c r="E23">
        <f>E22+D23-C23</f>
      </c>
      <c r="F23">
        <f>IF(E23&lt;=0,"⚠ SOLDE ÉPUISÉ — faire verser 500 €","")</f>
      </c>
      <c r="G23" t="str">
        <v>Non</v>
      </c>
      <c r="H23">
        <f>IF(C23&gt;500,"⚠ Facture &gt; 500 € — à relancer","")</f>
      </c>
      <c r="I23">
        <f>SUM($C$2:$C$120)-SUMIF($G$2:$G$120,"Oui",$C$2:$C$120)</f>
      </c>
      <c r="J23">
        <f>IF(I23&gt;500,"⚠ ENVOYER MESSAGE PAIEMENT","")</f>
      </c>
      <c r="K23" t="str">
        <v>Non</v>
      </c>
      <c r="L23" t="str">
        <v/>
      </c>
    </row>
    <row r="24">
      <c r="A24" t="str">
        <v/>
      </c>
      <c r="B24" t="str">
        <v/>
      </c>
      <c r="C24" t="str">
        <v/>
      </c>
      <c r="D24">
        <v>0</v>
      </c>
      <c r="E24">
        <f>E23+D24-C24</f>
      </c>
      <c r="F24">
        <f>IF(E24&lt;=0,"⚠ SOLDE ÉPUISÉ — faire verser 500 €","")</f>
      </c>
      <c r="G24" t="str">
        <v>Non</v>
      </c>
      <c r="H24">
        <f>IF(C24&gt;500,"⚠ Facture &gt; 500 € — à relancer","")</f>
      </c>
      <c r="I24">
        <f>SUM($C$2:$C$120)-SUMIF($G$2:$G$120,"Oui",$C$2:$C$120)</f>
      </c>
      <c r="J24">
        <f>IF(I24&gt;500,"⚠ ENVOYER MESSAGE PAIEMENT","")</f>
      </c>
      <c r="K24" t="str">
        <v>Non</v>
      </c>
      <c r="L24" t="str">
        <v/>
      </c>
    </row>
    <row r="25">
      <c r="A25" t="str">
        <v/>
      </c>
      <c r="B25" t="str">
        <v/>
      </c>
      <c r="C25" t="str">
        <v/>
      </c>
      <c r="D25">
        <v>0</v>
      </c>
      <c r="E25">
        <f>E24+D25-C25</f>
      </c>
      <c r="F25">
        <f>IF(E25&lt;=0,"⚠ SOLDE ÉPUISÉ — faire verser 500 €","")</f>
      </c>
      <c r="G25" t="str">
        <v>Non</v>
      </c>
      <c r="H25">
        <f>IF(C25&gt;500,"⚠ Facture &gt; 500 € — à relancer","")</f>
      </c>
      <c r="I25">
        <f>SUM($C$2:$C$120)-SUMIF($G$2:$G$120,"Oui",$C$2:$C$120)</f>
      </c>
      <c r="J25">
        <f>IF(I25&gt;500,"⚠ ENVOYER MESSAGE PAIEMENT","")</f>
      </c>
      <c r="K25" t="str">
        <v>Non</v>
      </c>
      <c r="L25" t="str">
        <v/>
      </c>
    </row>
    <row r="26">
      <c r="A26" t="str">
        <v/>
      </c>
      <c r="B26" t="str">
        <v/>
      </c>
      <c r="C26" t="str">
        <v/>
      </c>
      <c r="D26">
        <v>0</v>
      </c>
      <c r="E26">
        <f>E25+D26-C26</f>
      </c>
      <c r="F26">
        <f>IF(E26&lt;=0,"⚠ SOLDE ÉPUISÉ — faire verser 500 €","")</f>
      </c>
      <c r="G26" t="str">
        <v>Non</v>
      </c>
      <c r="H26">
        <f>IF(C26&gt;500,"⚠ Facture &gt; 500 € — à relancer","")</f>
      </c>
      <c r="I26">
        <f>SUM($C$2:$C$120)-SUMIF($G$2:$G$120,"Oui",$C$2:$C$120)</f>
      </c>
      <c r="J26">
        <f>IF(I26&gt;500,"⚠ ENVOYER MESSAGE PAIEMENT","")</f>
      </c>
      <c r="K26" t="str">
        <v>Non</v>
      </c>
      <c r="L26" t="str">
        <v/>
      </c>
    </row>
    <row r="27">
      <c r="A27" t="str">
        <v/>
      </c>
      <c r="B27" t="str">
        <v/>
      </c>
      <c r="C27" t="str">
        <v/>
      </c>
      <c r="D27">
        <v>0</v>
      </c>
      <c r="E27">
        <f>E26+D27-C27</f>
      </c>
      <c r="F27">
        <f>IF(E27&lt;=0,"⚠ SOLDE ÉPUISÉ — faire verser 500 €","")</f>
      </c>
      <c r="G27" t="str">
        <v>Non</v>
      </c>
      <c r="H27">
        <f>IF(C27&gt;500,"⚠ Facture &gt; 500 € — à relancer","")</f>
      </c>
      <c r="I27">
        <f>SUM($C$2:$C$120)-SUMIF($G$2:$G$120,"Oui",$C$2:$C$120)</f>
      </c>
      <c r="J27">
        <f>IF(I27&gt;500,"⚠ ENVOYER MESSAGE PAIEMENT","")</f>
      </c>
      <c r="K27" t="str">
        <v>Non</v>
      </c>
      <c r="L27" t="str">
        <v/>
      </c>
    </row>
    <row r="28">
      <c r="A28" t="str">
        <v/>
      </c>
      <c r="B28" t="str">
        <v/>
      </c>
      <c r="C28" t="str">
        <v/>
      </c>
      <c r="D28">
        <v>0</v>
      </c>
      <c r="E28">
        <f>E27+D28-C28</f>
      </c>
      <c r="F28">
        <f>IF(E28&lt;=0,"⚠ SOLDE ÉPUISÉ — faire verser 500 €","")</f>
      </c>
      <c r="G28" t="str">
        <v>Non</v>
      </c>
      <c r="H28">
        <f>IF(C28&gt;500,"⚠ Facture &gt; 500 € — à relancer","")</f>
      </c>
      <c r="I28">
        <f>SUM($C$2:$C$120)-SUMIF($G$2:$G$120,"Oui",$C$2:$C$120)</f>
      </c>
      <c r="J28">
        <f>IF(I28&gt;500,"⚠ ENVOYER MESSAGE PAIEMENT","")</f>
      </c>
      <c r="K28" t="str">
        <v>Non</v>
      </c>
      <c r="L28" t="str">
        <v/>
      </c>
    </row>
    <row r="29">
      <c r="A29" t="str">
        <v/>
      </c>
      <c r="B29" t="str">
        <v/>
      </c>
      <c r="C29" t="str">
        <v/>
      </c>
      <c r="D29">
        <v>0</v>
      </c>
      <c r="E29">
        <f>E28+D29-C29</f>
      </c>
      <c r="F29">
        <f>IF(E29&lt;=0,"⚠ SOLDE ÉPUISÉ — faire verser 500 €","")</f>
      </c>
      <c r="G29" t="str">
        <v>Non</v>
      </c>
      <c r="H29">
        <f>IF(C29&gt;500,"⚠ Facture &gt; 500 € — à relancer","")</f>
      </c>
      <c r="I29">
        <f>SUM($C$2:$C$120)-SUMIF($G$2:$G$120,"Oui",$C$2:$C$120)</f>
      </c>
      <c r="J29">
        <f>IF(I29&gt;500,"⚠ ENVOYER MESSAGE PAIEMENT","")</f>
      </c>
      <c r="K29" t="str">
        <v>Non</v>
      </c>
      <c r="L29" t="str">
        <v/>
      </c>
    </row>
    <row r="30">
      <c r="A30" t="str">
        <v/>
      </c>
      <c r="B30" t="str">
        <v/>
      </c>
      <c r="C30" t="str">
        <v/>
      </c>
      <c r="D30">
        <v>0</v>
      </c>
      <c r="E30">
        <f>E29+D30-C30</f>
      </c>
      <c r="F30">
        <f>IF(E30&lt;=0,"⚠ SOLDE ÉPUISÉ — faire verser 500 €","")</f>
      </c>
      <c r="G30" t="str">
        <v>Non</v>
      </c>
      <c r="H30">
        <f>IF(C30&gt;500,"⚠ Facture &gt; 500 € — à relancer","")</f>
      </c>
      <c r="I30">
        <f>SUM($C$2:$C$120)-SUMIF($G$2:$G$120,"Oui",$C$2:$C$120)</f>
      </c>
      <c r="J30">
        <f>IF(I30&gt;500,"⚠ ENVOYER MESSAGE PAIEMENT","")</f>
      </c>
      <c r="K30" t="str">
        <v>Non</v>
      </c>
      <c r="L30" t="str">
        <v/>
      </c>
    </row>
    <row r="31">
      <c r="A31" t="str">
        <v/>
      </c>
      <c r="B31" t="str">
        <v/>
      </c>
      <c r="C31" t="str">
        <v/>
      </c>
      <c r="D31">
        <v>0</v>
      </c>
      <c r="E31">
        <f>E30+D31-C31</f>
      </c>
      <c r="F31">
        <f>IF(E31&lt;=0,"⚠ SOLDE ÉPUISÉ — faire verser 500 €","")</f>
      </c>
      <c r="G31" t="str">
        <v>Non</v>
      </c>
      <c r="H31">
        <f>IF(C31&gt;500,"⚠ Facture &gt; 500 € — à relancer","")</f>
      </c>
      <c r="I31">
        <f>SUM($C$2:$C$120)-SUMIF($G$2:$G$120,"Oui",$C$2:$C$120)</f>
      </c>
      <c r="J31">
        <f>IF(I31&gt;500,"⚠ ENVOYER MESSAGE PAIEMENT","")</f>
      </c>
      <c r="K31" t="str">
        <v>Non</v>
      </c>
      <c r="L31" t="str">
        <v/>
      </c>
    </row>
    <row r="32">
      <c r="A32" t="str">
        <v/>
      </c>
      <c r="B32" t="str">
        <v/>
      </c>
      <c r="C32" t="str">
        <v/>
      </c>
      <c r="D32">
        <v>0</v>
      </c>
      <c r="E32">
        <f>E31+D32-C32</f>
      </c>
      <c r="F32">
        <f>IF(E32&lt;=0,"⚠ SOLDE ÉPUISÉ — faire verser 500 €","")</f>
      </c>
      <c r="G32" t="str">
        <v>Non</v>
      </c>
      <c r="H32">
        <f>IF(C32&gt;500,"⚠ Facture &gt; 500 € — à relancer","")</f>
      </c>
      <c r="I32">
        <f>SUM($C$2:$C$120)-SUMIF($G$2:$G$120,"Oui",$C$2:$C$120)</f>
      </c>
      <c r="J32">
        <f>IF(I32&gt;500,"⚠ ENVOYER MESSAGE PAIEMENT","")</f>
      </c>
      <c r="K32" t="str">
        <v>Non</v>
      </c>
      <c r="L32" t="str">
        <v/>
      </c>
    </row>
    <row r="33">
      <c r="A33" t="str">
        <v/>
      </c>
      <c r="B33" t="str">
        <v/>
      </c>
      <c r="C33" t="str">
        <v/>
      </c>
      <c r="D33">
        <v>0</v>
      </c>
      <c r="E33">
        <f>E32+D33-C33</f>
      </c>
      <c r="F33">
        <f>IF(E33&lt;=0,"⚠ SOLDE ÉPUISÉ — faire verser 500 €","")</f>
      </c>
      <c r="G33" t="str">
        <v>Non</v>
      </c>
      <c r="H33">
        <f>IF(C33&gt;500,"⚠ Facture &gt; 500 € — à relancer","")</f>
      </c>
      <c r="I33">
        <f>SUM($C$2:$C$120)-SUMIF($G$2:$G$120,"Oui",$C$2:$C$120)</f>
      </c>
      <c r="J33">
        <f>IF(I33&gt;500,"⚠ ENVOYER MESSAGE PAIEMENT","")</f>
      </c>
      <c r="K33" t="str">
        <v>Non</v>
      </c>
      <c r="L33" t="str">
        <v/>
      </c>
    </row>
    <row r="34">
      <c r="A34" t="str">
        <v/>
      </c>
      <c r="B34" t="str">
        <v/>
      </c>
      <c r="C34" t="str">
        <v/>
      </c>
      <c r="D34">
        <v>0</v>
      </c>
      <c r="E34">
        <f>E33+D34-C34</f>
      </c>
      <c r="F34">
        <f>IF(E34&lt;=0,"⚠ SOLDE ÉPUISÉ — faire verser 500 €","")</f>
      </c>
      <c r="G34" t="str">
        <v>Non</v>
      </c>
      <c r="H34">
        <f>IF(C34&gt;500,"⚠ Facture &gt; 500 € — à relancer","")</f>
      </c>
      <c r="I34">
        <f>SUM($C$2:$C$120)-SUMIF($G$2:$G$120,"Oui",$C$2:$C$120)</f>
      </c>
      <c r="J34">
        <f>IF(I34&gt;500,"⚠ ENVOYER MESSAGE PAIEMENT","")</f>
      </c>
      <c r="K34" t="str">
        <v>Non</v>
      </c>
      <c r="L34" t="str">
        <v/>
      </c>
    </row>
    <row r="35">
      <c r="A35" t="str">
        <v/>
      </c>
      <c r="B35" t="str">
        <v/>
      </c>
      <c r="C35" t="str">
        <v/>
      </c>
      <c r="D35">
        <v>0</v>
      </c>
      <c r="E35">
        <f>E34+D35-C35</f>
      </c>
      <c r="F35">
        <f>IF(E35&lt;=0,"⚠ SOLDE ÉPUISÉ — faire verser 500 €","")</f>
      </c>
      <c r="G35" t="str">
        <v>Non</v>
      </c>
      <c r="H35">
        <f>IF(C35&gt;500,"⚠ Facture &gt; 500 € — à relancer","")</f>
      </c>
      <c r="I35">
        <f>SUM($C$2:$C$120)-SUMIF($G$2:$G$120,"Oui",$C$2:$C$120)</f>
      </c>
      <c r="J35">
        <f>IF(I35&gt;500,"⚠ ENVOYER MESSAGE PAIEMENT","")</f>
      </c>
      <c r="K35" t="str">
        <v>Non</v>
      </c>
      <c r="L35" t="str">
        <v/>
      </c>
    </row>
    <row r="36">
      <c r="A36" t="str">
        <v/>
      </c>
      <c r="B36" t="str">
        <v/>
      </c>
      <c r="C36" t="str">
        <v/>
      </c>
      <c r="D36">
        <v>0</v>
      </c>
      <c r="E36">
        <f>E35+D36-C36</f>
      </c>
      <c r="F36">
        <f>IF(E36&lt;=0,"⚠ SOLDE ÉPUISÉ — faire verser 500 €","")</f>
      </c>
      <c r="G36" t="str">
        <v>Non</v>
      </c>
      <c r="H36">
        <f>IF(C36&gt;500,"⚠ Facture &gt; 500 € — à relancer","")</f>
      </c>
      <c r="I36">
        <f>SUM($C$2:$C$120)-SUMIF($G$2:$G$120,"Oui",$C$2:$C$120)</f>
      </c>
      <c r="J36">
        <f>IF(I36&gt;500,"⚠ ENVOYER MESSAGE PAIEMENT","")</f>
      </c>
      <c r="K36" t="str">
        <v>Non</v>
      </c>
      <c r="L36" t="str">
        <v/>
      </c>
    </row>
    <row r="37">
      <c r="A37" t="str">
        <v/>
      </c>
      <c r="B37" t="str">
        <v/>
      </c>
      <c r="C37" t="str">
        <v/>
      </c>
      <c r="D37">
        <v>0</v>
      </c>
      <c r="E37">
        <f>E36+D37-C37</f>
      </c>
      <c r="F37">
        <f>IF(E37&lt;=0,"⚠ SOLDE ÉPUISÉ — faire verser 500 €","")</f>
      </c>
      <c r="G37" t="str">
        <v>Non</v>
      </c>
      <c r="H37">
        <f>IF(C37&gt;500,"⚠ Facture &gt; 500 € — à relancer","")</f>
      </c>
      <c r="I37">
        <f>SUM($C$2:$C$120)-SUMIF($G$2:$G$120,"Oui",$C$2:$C$120)</f>
      </c>
      <c r="J37">
        <f>IF(I37&gt;500,"⚠ ENVOYER MESSAGE PAIEMENT","")</f>
      </c>
      <c r="K37" t="str">
        <v>Non</v>
      </c>
      <c r="L37" t="str">
        <v/>
      </c>
    </row>
    <row r="38">
      <c r="A38" t="str">
        <v/>
      </c>
      <c r="B38" t="str">
        <v/>
      </c>
      <c r="C38" t="str">
        <v/>
      </c>
      <c r="D38">
        <v>0</v>
      </c>
      <c r="E38">
        <f>E37+D38-C38</f>
      </c>
      <c r="F38">
        <f>IF(E38&lt;=0,"⚠ SOLDE ÉPUISÉ — faire verser 500 €","")</f>
      </c>
      <c r="G38" t="str">
        <v>Non</v>
      </c>
      <c r="H38">
        <f>IF(C38&gt;500,"⚠ Facture &gt; 500 € — à relancer","")</f>
      </c>
      <c r="I38">
        <f>SUM($C$2:$C$120)-SUMIF($G$2:$G$120,"Oui",$C$2:$C$120)</f>
      </c>
      <c r="J38">
        <f>IF(I38&gt;500,"⚠ ENVOYER MESSAGE PAIEMENT","")</f>
      </c>
      <c r="K38" t="str">
        <v>Non</v>
      </c>
      <c r="L38" t="str">
        <v/>
      </c>
    </row>
    <row r="39">
      <c r="A39" t="str">
        <v/>
      </c>
      <c r="B39" t="str">
        <v/>
      </c>
      <c r="C39" t="str">
        <v/>
      </c>
      <c r="D39">
        <v>0</v>
      </c>
      <c r="E39">
        <f>E38+D39-C39</f>
      </c>
      <c r="F39">
        <f>IF(E39&lt;=0,"⚠ SOLDE ÉPUISÉ — faire verser 500 €","")</f>
      </c>
      <c r="G39" t="str">
        <v>Non</v>
      </c>
      <c r="H39">
        <f>IF(C39&gt;500,"⚠ Facture &gt; 500 € — à relancer","")</f>
      </c>
      <c r="I39">
        <f>SUM($C$2:$C$120)-SUMIF($G$2:$G$120,"Oui",$C$2:$C$120)</f>
      </c>
      <c r="J39">
        <f>IF(I39&gt;500,"⚠ ENVOYER MESSAGE PAIEMENT","")</f>
      </c>
      <c r="K39" t="str">
        <v>Non</v>
      </c>
      <c r="L39" t="str">
        <v/>
      </c>
    </row>
    <row r="40">
      <c r="A40" t="str">
        <v/>
      </c>
      <c r="B40" t="str">
        <v/>
      </c>
      <c r="C40" t="str">
        <v/>
      </c>
      <c r="D40">
        <v>0</v>
      </c>
      <c r="E40">
        <f>E39+D40-C40</f>
      </c>
      <c r="F40">
        <f>IF(E40&lt;=0,"⚠ SOLDE ÉPUISÉ — faire verser 500 €","")</f>
      </c>
      <c r="G40" t="str">
        <v>Non</v>
      </c>
      <c r="H40">
        <f>IF(C40&gt;500,"⚠ Facture &gt; 500 € — à relancer","")</f>
      </c>
      <c r="I40">
        <f>SUM($C$2:$C$120)-SUMIF($G$2:$G$120,"Oui",$C$2:$C$120)</f>
      </c>
      <c r="J40">
        <f>IF(I40&gt;500,"⚠ ENVOYER MESSAGE PAIEMENT","")</f>
      </c>
      <c r="K40" t="str">
        <v>Non</v>
      </c>
      <c r="L40" t="str">
        <v/>
      </c>
    </row>
    <row r="41">
      <c r="A41" t="str">
        <v/>
      </c>
      <c r="B41" t="str">
        <v/>
      </c>
      <c r="C41" t="str">
        <v/>
      </c>
      <c r="D41">
        <v>0</v>
      </c>
      <c r="E41">
        <f>E40+D41-C41</f>
      </c>
      <c r="F41">
        <f>IF(E41&lt;=0,"⚠ SOLDE ÉPUISÉ — faire verser 500 €","")</f>
      </c>
      <c r="G41" t="str">
        <v>Non</v>
      </c>
      <c r="H41">
        <f>IF(C41&gt;500,"⚠ Facture &gt; 500 € — à relancer","")</f>
      </c>
      <c r="I41">
        <f>SUM($C$2:$C$120)-SUMIF($G$2:$G$120,"Oui",$C$2:$C$120)</f>
      </c>
      <c r="J41">
        <f>IF(I41&gt;500,"⚠ ENVOYER MESSAGE PAIEMENT","")</f>
      </c>
      <c r="K41" t="str">
        <v>Non</v>
      </c>
      <c r="L41" t="str">
        <v/>
      </c>
    </row>
    <row r="42">
      <c r="A42" t="str">
        <v/>
      </c>
      <c r="B42" t="str">
        <v/>
      </c>
      <c r="C42" t="str">
        <v/>
      </c>
      <c r="D42">
        <v>0</v>
      </c>
      <c r="E42">
        <f>E41+D42-C42</f>
      </c>
      <c r="F42">
        <f>IF(E42&lt;=0,"⚠ SOLDE ÉPUISÉ — faire verser 500 €","")</f>
      </c>
      <c r="G42" t="str">
        <v>Non</v>
      </c>
      <c r="H42">
        <f>IF(C42&gt;500,"⚠ Facture &gt; 500 € — à relancer","")</f>
      </c>
      <c r="I42">
        <f>SUM($C$2:$C$120)-SUMIF($G$2:$G$120,"Oui",$C$2:$C$120)</f>
      </c>
      <c r="J42">
        <f>IF(I42&gt;500,"⚠ ENVOYER MESSAGE PAIEMENT","")</f>
      </c>
      <c r="K42" t="str">
        <v>Non</v>
      </c>
      <c r="L42" t="str">
        <v/>
      </c>
    </row>
    <row r="43">
      <c r="A43" t="str">
        <v/>
      </c>
      <c r="B43" t="str">
        <v/>
      </c>
      <c r="C43" t="str">
        <v/>
      </c>
      <c r="D43">
        <v>0</v>
      </c>
      <c r="E43">
        <f>E42+D43-C43</f>
      </c>
      <c r="F43">
        <f>IF(E43&lt;=0,"⚠ SOLDE ÉPUISÉ — faire verser 500 €","")</f>
      </c>
      <c r="G43" t="str">
        <v>Non</v>
      </c>
      <c r="H43">
        <f>IF(C43&gt;500,"⚠ Facture &gt; 500 € — à relancer","")</f>
      </c>
      <c r="I43">
        <f>SUM($C$2:$C$120)-SUMIF($G$2:$G$120,"Oui",$C$2:$C$120)</f>
      </c>
      <c r="J43">
        <f>IF(I43&gt;500,"⚠ ENVOYER MESSAGE PAIEMENT","")</f>
      </c>
      <c r="K43" t="str">
        <v>Non</v>
      </c>
      <c r="L43" t="str">
        <v/>
      </c>
    </row>
    <row r="44">
      <c r="A44" t="str">
        <v/>
      </c>
      <c r="B44" t="str">
        <v/>
      </c>
      <c r="C44" t="str">
        <v/>
      </c>
      <c r="D44">
        <v>0</v>
      </c>
      <c r="E44">
        <f>E43+D44-C44</f>
      </c>
      <c r="F44">
        <f>IF(E44&lt;=0,"⚠ SOLDE ÉPUISÉ — faire verser 500 €","")</f>
      </c>
      <c r="G44" t="str">
        <v>Non</v>
      </c>
      <c r="H44">
        <f>IF(C44&gt;500,"⚠ Facture &gt; 500 € — à relancer","")</f>
      </c>
      <c r="I44">
        <f>SUM($C$2:$C$120)-SUMIF($G$2:$G$120,"Oui",$C$2:$C$120)</f>
      </c>
      <c r="J44">
        <f>IF(I44&gt;500,"⚠ ENVOYER MESSAGE PAIEMENT","")</f>
      </c>
      <c r="K44" t="str">
        <v>Non</v>
      </c>
      <c r="L44" t="str">
        <v/>
      </c>
    </row>
    <row r="45">
      <c r="A45" t="str">
        <v/>
      </c>
      <c r="B45" t="str">
        <v/>
      </c>
      <c r="C45" t="str">
        <v/>
      </c>
      <c r="D45">
        <v>0</v>
      </c>
      <c r="E45">
        <f>E44+D45-C45</f>
      </c>
      <c r="F45">
        <f>IF(E45&lt;=0,"⚠ SOLDE ÉPUISÉ — faire verser 500 €","")</f>
      </c>
      <c r="G45" t="str">
        <v>Non</v>
      </c>
      <c r="H45">
        <f>IF(C45&gt;500,"⚠ Facture &gt; 500 € — à relancer","")</f>
      </c>
      <c r="I45">
        <f>SUM($C$2:$C$120)-SUMIF($G$2:$G$120,"Oui",$C$2:$C$120)</f>
      </c>
      <c r="J45">
        <f>IF(I45&gt;500,"⚠ ENVOYER MESSAGE PAIEMENT","")</f>
      </c>
      <c r="K45" t="str">
        <v>Non</v>
      </c>
      <c r="L45" t="str">
        <v/>
      </c>
    </row>
    <row r="46">
      <c r="A46" t="str">
        <v/>
      </c>
      <c r="B46" t="str">
        <v/>
      </c>
      <c r="C46" t="str">
        <v/>
      </c>
      <c r="D46">
        <v>0</v>
      </c>
      <c r="E46">
        <f>E45+D46-C46</f>
      </c>
      <c r="F46">
        <f>IF(E46&lt;=0,"⚠ SOLDE ÉPUISÉ — faire verser 500 €","")</f>
      </c>
      <c r="G46" t="str">
        <v>Non</v>
      </c>
      <c r="H46">
        <f>IF(C46&gt;500,"⚠ Facture &gt; 500 € — à relancer","")</f>
      </c>
      <c r="I46">
        <f>SUM($C$2:$C$120)-SUMIF($G$2:$G$120,"Oui",$C$2:$C$120)</f>
      </c>
      <c r="J46">
        <f>IF(I46&gt;500,"⚠ ENVOYER MESSAGE PAIEMENT","")</f>
      </c>
      <c r="K46" t="str">
        <v>Non</v>
      </c>
      <c r="L46" t="str">
        <v/>
      </c>
    </row>
    <row r="47">
      <c r="A47" t="str">
        <v/>
      </c>
      <c r="B47" t="str">
        <v/>
      </c>
      <c r="C47" t="str">
        <v/>
      </c>
      <c r="D47">
        <v>0</v>
      </c>
      <c r="E47">
        <f>E46+D47-C47</f>
      </c>
      <c r="F47">
        <f>IF(E47&lt;=0,"⚠ SOLDE ÉPUISÉ — faire verser 500 €","")</f>
      </c>
      <c r="G47" t="str">
        <v>Non</v>
      </c>
      <c r="H47">
        <f>IF(C47&gt;500,"⚠ Facture &gt; 500 € — à relancer","")</f>
      </c>
      <c r="I47">
        <f>SUM($C$2:$C$120)-SUMIF($G$2:$G$120,"Oui",$C$2:$C$120)</f>
      </c>
      <c r="J47">
        <f>IF(I47&gt;500,"⚠ ENVOYER MESSAGE PAIEMENT","")</f>
      </c>
      <c r="K47" t="str">
        <v>Non</v>
      </c>
      <c r="L47" t="str">
        <v/>
      </c>
    </row>
    <row r="48">
      <c r="A48" t="str">
        <v/>
      </c>
      <c r="B48" t="str">
        <v/>
      </c>
      <c r="C48" t="str">
        <v/>
      </c>
      <c r="D48">
        <v>0</v>
      </c>
      <c r="E48">
        <f>E47+D48-C48</f>
      </c>
      <c r="F48">
        <f>IF(E48&lt;=0,"⚠ SOLDE ÉPUISÉ — faire verser 500 €","")</f>
      </c>
      <c r="G48" t="str">
        <v>Non</v>
      </c>
      <c r="H48">
        <f>IF(C48&gt;500,"⚠ Facture &gt; 500 € — à relancer","")</f>
      </c>
      <c r="I48">
        <f>SUM($C$2:$C$120)-SUMIF($G$2:$G$120,"Oui",$C$2:$C$120)</f>
      </c>
      <c r="J48">
        <f>IF(I48&gt;500,"⚠ ENVOYER MESSAGE PAIEMENT","")</f>
      </c>
      <c r="K48" t="str">
        <v>Non</v>
      </c>
      <c r="L48" t="str">
        <v/>
      </c>
    </row>
    <row r="49">
      <c r="A49" t="str">
        <v/>
      </c>
      <c r="B49" t="str">
        <v/>
      </c>
      <c r="C49" t="str">
        <v/>
      </c>
      <c r="D49">
        <v>0</v>
      </c>
      <c r="E49">
        <f>E48+D49-C49</f>
      </c>
      <c r="F49">
        <f>IF(E49&lt;=0,"⚠ SOLDE ÉPUISÉ — faire verser 500 €","")</f>
      </c>
      <c r="G49" t="str">
        <v>Non</v>
      </c>
      <c r="H49">
        <f>IF(C49&gt;500,"⚠ Facture &gt; 500 € — à relancer","")</f>
      </c>
      <c r="I49">
        <f>SUM($C$2:$C$120)-SUMIF($G$2:$G$120,"Oui",$C$2:$C$120)</f>
      </c>
      <c r="J49">
        <f>IF(I49&gt;500,"⚠ ENVOYER MESSAGE PAIEMENT","")</f>
      </c>
      <c r="K49" t="str">
        <v>Non</v>
      </c>
      <c r="L49" t="str">
        <v/>
      </c>
    </row>
    <row r="50">
      <c r="A50" t="str">
        <v/>
      </c>
      <c r="B50" t="str">
        <v/>
      </c>
      <c r="C50" t="str">
        <v/>
      </c>
      <c r="D50">
        <v>0</v>
      </c>
      <c r="E50">
        <f>E49+D50-C50</f>
      </c>
      <c r="F50">
        <f>IF(E50&lt;=0,"⚠ SOLDE ÉPUISÉ — faire verser 500 €","")</f>
      </c>
      <c r="G50" t="str">
        <v>Non</v>
      </c>
      <c r="H50">
        <f>IF(C50&gt;500,"⚠ Facture &gt; 500 € — à relancer","")</f>
      </c>
      <c r="I50">
        <f>SUM($C$2:$C$120)-SUMIF($G$2:$G$120,"Oui",$C$2:$C$120)</f>
      </c>
      <c r="J50">
        <f>IF(I50&gt;500,"⚠ ENVOYER MESSAGE PAIEMENT","")</f>
      </c>
      <c r="K50" t="str">
        <v>Non</v>
      </c>
      <c r="L50" t="str">
        <v/>
      </c>
    </row>
    <row r="51">
      <c r="A51" t="str">
        <v/>
      </c>
      <c r="B51" t="str">
        <v/>
      </c>
      <c r="C51" t="str">
        <v/>
      </c>
      <c r="D51">
        <v>0</v>
      </c>
      <c r="E51">
        <f>E50+D51-C51</f>
      </c>
      <c r="F51">
        <f>IF(E51&lt;=0,"⚠ SOLDE ÉPUISÉ — faire verser 500 €","")</f>
      </c>
      <c r="G51" t="str">
        <v>Non</v>
      </c>
      <c r="H51">
        <f>IF(C51&gt;500,"⚠ Facture &gt; 500 € — à relancer","")</f>
      </c>
      <c r="I51">
        <f>SUM($C$2:$C$120)-SUMIF($G$2:$G$120,"Oui",$C$2:$C$120)</f>
      </c>
      <c r="J51">
        <f>IF(I51&gt;500,"⚠ ENVOYER MESSAGE PAIEMENT","")</f>
      </c>
      <c r="K51" t="str">
        <v>Non</v>
      </c>
      <c r="L51" t="str">
        <v/>
      </c>
    </row>
    <row r="52">
      <c r="A52" t="str">
        <v/>
      </c>
      <c r="B52" t="str">
        <v/>
      </c>
      <c r="C52" t="str">
        <v/>
      </c>
      <c r="D52">
        <v>0</v>
      </c>
      <c r="E52">
        <f>E51+D52-C52</f>
      </c>
      <c r="F52">
        <f>IF(E52&lt;=0,"⚠ SOLDE ÉPUISÉ — faire verser 500 €","")</f>
      </c>
      <c r="G52" t="str">
        <v>Non</v>
      </c>
      <c r="H52">
        <f>IF(C52&gt;500,"⚠ Facture &gt; 500 € — à relancer","")</f>
      </c>
      <c r="I52">
        <f>SUM($C$2:$C$120)-SUMIF($G$2:$G$120,"Oui",$C$2:$C$120)</f>
      </c>
      <c r="J52">
        <f>IF(I52&gt;500,"⚠ ENVOYER MESSAGE PAIEMENT","")</f>
      </c>
      <c r="K52" t="str">
        <v>Non</v>
      </c>
      <c r="L52" t="str">
        <v/>
      </c>
    </row>
    <row r="53">
      <c r="A53" t="str">
        <v/>
      </c>
      <c r="B53" t="str">
        <v/>
      </c>
      <c r="C53" t="str">
        <v/>
      </c>
      <c r="D53">
        <v>0</v>
      </c>
      <c r="E53">
        <f>E52+D53-C53</f>
      </c>
      <c r="F53">
        <f>IF(E53&lt;=0,"⚠ SOLDE ÉPUISÉ — faire verser 500 €","")</f>
      </c>
      <c r="G53" t="str">
        <v>Non</v>
      </c>
      <c r="H53">
        <f>IF(C53&gt;500,"⚠ Facture &gt; 500 € — à relancer","")</f>
      </c>
      <c r="I53">
        <f>SUM($C$2:$C$120)-SUMIF($G$2:$G$120,"Oui",$C$2:$C$120)</f>
      </c>
      <c r="J53">
        <f>IF(I53&gt;500,"⚠ ENVOYER MESSAGE PAIEMENT","")</f>
      </c>
      <c r="K53" t="str">
        <v>Non</v>
      </c>
      <c r="L53" t="str">
        <v/>
      </c>
    </row>
    <row r="54">
      <c r="A54" t="str">
        <v/>
      </c>
      <c r="B54" t="str">
        <v/>
      </c>
      <c r="C54" t="str">
        <v/>
      </c>
      <c r="D54">
        <v>0</v>
      </c>
      <c r="E54">
        <f>E53+D54-C54</f>
      </c>
      <c r="F54">
        <f>IF(E54&lt;=0,"⚠ SOLDE ÉPUISÉ — faire verser 500 €","")</f>
      </c>
      <c r="G54" t="str">
        <v>Non</v>
      </c>
      <c r="H54">
        <f>IF(C54&gt;500,"⚠ Facture &gt; 500 € — à relancer","")</f>
      </c>
      <c r="I54">
        <f>SUM($C$2:$C$120)-SUMIF($G$2:$G$120,"Oui",$C$2:$C$120)</f>
      </c>
      <c r="J54">
        <f>IF(I54&gt;500,"⚠ ENVOYER MESSAGE PAIEMENT","")</f>
      </c>
      <c r="K54" t="str">
        <v>Non</v>
      </c>
      <c r="L54" t="str">
        <v/>
      </c>
    </row>
    <row r="55">
      <c r="A55" t="str">
        <v/>
      </c>
      <c r="B55" t="str">
        <v/>
      </c>
      <c r="C55" t="str">
        <v/>
      </c>
      <c r="D55">
        <v>0</v>
      </c>
      <c r="E55">
        <f>E54+D55-C55</f>
      </c>
      <c r="F55">
        <f>IF(E55&lt;=0,"⚠ SOLDE ÉPUISÉ — faire verser 500 €","")</f>
      </c>
      <c r="G55" t="str">
        <v>Non</v>
      </c>
      <c r="H55">
        <f>IF(C55&gt;500,"⚠ Facture &gt; 500 € — à relancer","")</f>
      </c>
      <c r="I55">
        <f>SUM($C$2:$C$120)-SUMIF($G$2:$G$120,"Oui",$C$2:$C$120)</f>
      </c>
      <c r="J55">
        <f>IF(I55&gt;500,"⚠ ENVOYER MESSAGE PAIEMENT","")</f>
      </c>
      <c r="K55" t="str">
        <v>Non</v>
      </c>
      <c r="L55" t="str">
        <v/>
      </c>
    </row>
    <row r="56">
      <c r="A56" t="str">
        <v/>
      </c>
      <c r="B56" t="str">
        <v/>
      </c>
      <c r="C56" t="str">
        <v/>
      </c>
      <c r="D56">
        <v>0</v>
      </c>
      <c r="E56">
        <f>E55+D56-C56</f>
      </c>
      <c r="F56">
        <f>IF(E56&lt;=0,"⚠ SOLDE ÉPUISÉ — faire verser 500 €","")</f>
      </c>
      <c r="G56" t="str">
        <v>Non</v>
      </c>
      <c r="H56">
        <f>IF(C56&gt;500,"⚠ Facture &gt; 500 € — à relancer","")</f>
      </c>
      <c r="I56">
        <f>SUM($C$2:$C$120)-SUMIF($G$2:$G$120,"Oui",$C$2:$C$120)</f>
      </c>
      <c r="J56">
        <f>IF(I56&gt;500,"⚠ ENVOYER MESSAGE PAIEMENT","")</f>
      </c>
      <c r="K56" t="str">
        <v>Non</v>
      </c>
      <c r="L56" t="str">
        <v/>
      </c>
    </row>
    <row r="57">
      <c r="A57" t="str">
        <v/>
      </c>
      <c r="B57" t="str">
        <v/>
      </c>
      <c r="C57" t="str">
        <v/>
      </c>
      <c r="D57">
        <v>0</v>
      </c>
      <c r="E57">
        <f>E56+D57-C57</f>
      </c>
      <c r="F57">
        <f>IF(E57&lt;=0,"⚠ SOLDE ÉPUISÉ — faire verser 500 €","")</f>
      </c>
      <c r="G57" t="str">
        <v>Non</v>
      </c>
      <c r="H57">
        <f>IF(C57&gt;500,"⚠ Facture &gt; 500 € — à relancer","")</f>
      </c>
      <c r="I57">
        <f>SUM($C$2:$C$120)-SUMIF($G$2:$G$120,"Oui",$C$2:$C$120)</f>
      </c>
      <c r="J57">
        <f>IF(I57&gt;500,"⚠ ENVOYER MESSAGE PAIEMENT","")</f>
      </c>
      <c r="K57" t="str">
        <v>Non</v>
      </c>
      <c r="L57" t="str">
        <v/>
      </c>
    </row>
    <row r="58">
      <c r="A58" t="str">
        <v/>
      </c>
      <c r="B58" t="str">
        <v/>
      </c>
      <c r="C58" t="str">
        <v/>
      </c>
      <c r="D58">
        <v>0</v>
      </c>
      <c r="E58">
        <f>E57+D58-C58</f>
      </c>
      <c r="F58">
        <f>IF(E58&lt;=0,"⚠ SOLDE ÉPUISÉ — faire verser 500 €","")</f>
      </c>
      <c r="G58" t="str">
        <v>Non</v>
      </c>
      <c r="H58">
        <f>IF(C58&gt;500,"⚠ Facture &gt; 500 € — à relancer","")</f>
      </c>
      <c r="I58">
        <f>SUM($C$2:$C$120)-SUMIF($G$2:$G$120,"Oui",$C$2:$C$120)</f>
      </c>
      <c r="J58">
        <f>IF(I58&gt;500,"⚠ ENVOYER MESSAGE PAIEMENT","")</f>
      </c>
      <c r="K58" t="str">
        <v>Non</v>
      </c>
      <c r="L58" t="str">
        <v/>
      </c>
    </row>
    <row r="59">
      <c r="A59" t="str">
        <v/>
      </c>
      <c r="B59" t="str">
        <v/>
      </c>
      <c r="C59" t="str">
        <v/>
      </c>
      <c r="D59">
        <v>0</v>
      </c>
      <c r="E59">
        <f>E58+D59-C59</f>
      </c>
      <c r="F59">
        <f>IF(E59&lt;=0,"⚠ SOLDE ÉPUISÉ — faire verser 500 €","")</f>
      </c>
      <c r="G59" t="str">
        <v>Non</v>
      </c>
      <c r="H59">
        <f>IF(C59&gt;500,"⚠ Facture &gt; 500 € — à relancer","")</f>
      </c>
      <c r="I59">
        <f>SUM($C$2:$C$120)-SUMIF($G$2:$G$120,"Oui",$C$2:$C$120)</f>
      </c>
      <c r="J59">
        <f>IF(I59&gt;500,"⚠ ENVOYER MESSAGE PAIEMENT","")</f>
      </c>
      <c r="K59" t="str">
        <v>Non</v>
      </c>
      <c r="L59" t="str">
        <v/>
      </c>
    </row>
    <row r="60">
      <c r="A60" t="str">
        <v/>
      </c>
      <c r="B60" t="str">
        <v/>
      </c>
      <c r="C60" t="str">
        <v/>
      </c>
      <c r="D60">
        <v>0</v>
      </c>
      <c r="E60">
        <f>E59+D60-C60</f>
      </c>
      <c r="F60">
        <f>IF(E60&lt;=0,"⚠ SOLDE ÉPUISÉ — faire verser 500 €","")</f>
      </c>
      <c r="G60" t="str">
        <v>Non</v>
      </c>
      <c r="H60">
        <f>IF(C60&gt;500,"⚠ Facture &gt; 500 € — à relancer","")</f>
      </c>
      <c r="I60">
        <f>SUM($C$2:$C$120)-SUMIF($G$2:$G$120,"Oui",$C$2:$C$120)</f>
      </c>
      <c r="J60">
        <f>IF(I60&gt;500,"⚠ ENVOYER MESSAGE PAIEMENT","")</f>
      </c>
      <c r="K60" t="str">
        <v>Non</v>
      </c>
      <c r="L60" t="str">
        <v/>
      </c>
    </row>
    <row r="61">
      <c r="A61" t="str">
        <v/>
      </c>
      <c r="B61" t="str">
        <v/>
      </c>
      <c r="C61" t="str">
        <v/>
      </c>
      <c r="D61">
        <v>0</v>
      </c>
      <c r="E61">
        <f>E60+D61-C61</f>
      </c>
      <c r="F61">
        <f>IF(E61&lt;=0,"⚠ SOLDE ÉPUISÉ — faire verser 500 €","")</f>
      </c>
      <c r="G61" t="str">
        <v>Non</v>
      </c>
      <c r="H61">
        <f>IF(C61&gt;500,"⚠ Facture &gt; 500 € — à relancer","")</f>
      </c>
      <c r="I61">
        <f>SUM($C$2:$C$120)-SUMIF($G$2:$G$120,"Oui",$C$2:$C$120)</f>
      </c>
      <c r="J61">
        <f>IF(I61&gt;500,"⚠ ENVOYER MESSAGE PAIEMENT","")</f>
      </c>
      <c r="K61" t="str">
        <v>Non</v>
      </c>
      <c r="L61" t="str">
        <v/>
      </c>
    </row>
    <row r="62">
      <c r="A62" t="str">
        <v/>
      </c>
      <c r="B62" t="str">
        <v/>
      </c>
      <c r="C62" t="str">
        <v/>
      </c>
      <c r="D62">
        <v>0</v>
      </c>
      <c r="E62">
        <f>E61+D62-C62</f>
      </c>
      <c r="F62">
        <f>IF(E62&lt;=0,"⚠ SOLDE ÉPUISÉ — faire verser 500 €","")</f>
      </c>
      <c r="G62" t="str">
        <v>Non</v>
      </c>
      <c r="H62">
        <f>IF(C62&gt;500,"⚠ Facture &gt; 500 € — à relancer","")</f>
      </c>
      <c r="I62">
        <f>SUM($C$2:$C$120)-SUMIF($G$2:$G$120,"Oui",$C$2:$C$120)</f>
      </c>
      <c r="J62">
        <f>IF(I62&gt;500,"⚠ ENVOYER MESSAGE PAIEMENT","")</f>
      </c>
      <c r="K62" t="str">
        <v>Non</v>
      </c>
      <c r="L62" t="str">
        <v/>
      </c>
    </row>
    <row r="63">
      <c r="A63" t="str">
        <v/>
      </c>
      <c r="B63" t="str">
        <v/>
      </c>
      <c r="C63" t="str">
        <v/>
      </c>
      <c r="D63">
        <v>0</v>
      </c>
      <c r="E63">
        <f>E62+D63-C63</f>
      </c>
      <c r="F63">
        <f>IF(E63&lt;=0,"⚠ SOLDE ÉPUISÉ — faire verser 500 €","")</f>
      </c>
      <c r="G63" t="str">
        <v>Non</v>
      </c>
      <c r="H63">
        <f>IF(C63&gt;500,"⚠ Facture &gt; 500 € — à relancer","")</f>
      </c>
      <c r="I63">
        <f>SUM($C$2:$C$120)-SUMIF($G$2:$G$120,"Oui",$C$2:$C$120)</f>
      </c>
      <c r="J63">
        <f>IF(I63&gt;500,"⚠ ENVOYER MESSAGE PAIEMENT","")</f>
      </c>
      <c r="K63" t="str">
        <v>Non</v>
      </c>
      <c r="L63" t="str">
        <v/>
      </c>
    </row>
    <row r="64">
      <c r="A64" t="str">
        <v/>
      </c>
      <c r="B64" t="str">
        <v/>
      </c>
      <c r="C64" t="str">
        <v/>
      </c>
      <c r="D64">
        <v>0</v>
      </c>
      <c r="E64">
        <f>E63+D64-C64</f>
      </c>
      <c r="F64">
        <f>IF(E64&lt;=0,"⚠ SOLDE ÉPUISÉ — faire verser 500 €","")</f>
      </c>
      <c r="G64" t="str">
        <v>Non</v>
      </c>
      <c r="H64">
        <f>IF(C64&gt;500,"⚠ Facture &gt; 500 € — à relancer","")</f>
      </c>
      <c r="I64">
        <f>SUM($C$2:$C$120)-SUMIF($G$2:$G$120,"Oui",$C$2:$C$120)</f>
      </c>
      <c r="J64">
        <f>IF(I64&gt;500,"⚠ ENVOYER MESSAGE PAIEMENT","")</f>
      </c>
      <c r="K64" t="str">
        <v>Non</v>
      </c>
      <c r="L64" t="str">
        <v/>
      </c>
    </row>
    <row r="65">
      <c r="A65" t="str">
        <v/>
      </c>
      <c r="B65" t="str">
        <v/>
      </c>
      <c r="C65" t="str">
        <v/>
      </c>
      <c r="D65">
        <v>0</v>
      </c>
      <c r="E65">
        <f>E64+D65-C65</f>
      </c>
      <c r="F65">
        <f>IF(E65&lt;=0,"⚠ SOLDE ÉPUISÉ — faire verser 500 €","")</f>
      </c>
      <c r="G65" t="str">
        <v>Non</v>
      </c>
      <c r="H65">
        <f>IF(C65&gt;500,"⚠ Facture &gt; 500 € — à relancer","")</f>
      </c>
      <c r="I65">
        <f>SUM($C$2:$C$120)-SUMIF($G$2:$G$120,"Oui",$C$2:$C$120)</f>
      </c>
      <c r="J65">
        <f>IF(I65&gt;500,"⚠ ENVOYER MESSAGE PAIEMENT","")</f>
      </c>
      <c r="K65" t="str">
        <v>Non</v>
      </c>
      <c r="L65" t="str">
        <v/>
      </c>
    </row>
    <row r="66">
      <c r="A66" t="str">
        <v/>
      </c>
      <c r="B66" t="str">
        <v/>
      </c>
      <c r="C66" t="str">
        <v/>
      </c>
      <c r="D66">
        <v>0</v>
      </c>
      <c r="E66">
        <f>E65+D66-C66</f>
      </c>
      <c r="F66">
        <f>IF(E66&lt;=0,"⚠ SOLDE ÉPUISÉ — faire verser 500 €","")</f>
      </c>
      <c r="G66" t="str">
        <v>Non</v>
      </c>
      <c r="H66">
        <f>IF(C66&gt;500,"⚠ Facture &gt; 500 € — à relancer","")</f>
      </c>
      <c r="I66">
        <f>SUM($C$2:$C$120)-SUMIF($G$2:$G$120,"Oui",$C$2:$C$120)</f>
      </c>
      <c r="J66">
        <f>IF(I66&gt;500,"⚠ ENVOYER MESSAGE PAIEMENT","")</f>
      </c>
      <c r="K66" t="str">
        <v>Non</v>
      </c>
      <c r="L66" t="str">
        <v/>
      </c>
    </row>
    <row r="67">
      <c r="A67" t="str">
        <v/>
      </c>
      <c r="B67" t="str">
        <v/>
      </c>
      <c r="C67" t="str">
        <v/>
      </c>
      <c r="D67">
        <v>0</v>
      </c>
      <c r="E67">
        <f>E66+D67-C67</f>
      </c>
      <c r="F67">
        <f>IF(E67&lt;=0,"⚠ SOLDE ÉPUISÉ — faire verser 500 €","")</f>
      </c>
      <c r="G67" t="str">
        <v>Non</v>
      </c>
      <c r="H67">
        <f>IF(C67&gt;500,"⚠ Facture &gt; 500 € — à relancer","")</f>
      </c>
      <c r="I67">
        <f>SUM($C$2:$C$120)-SUMIF($G$2:$G$120,"Oui",$C$2:$C$120)</f>
      </c>
      <c r="J67">
        <f>IF(I67&gt;500,"⚠ ENVOYER MESSAGE PAIEMENT","")</f>
      </c>
      <c r="K67" t="str">
        <v>Non</v>
      </c>
      <c r="L67" t="str">
        <v/>
      </c>
    </row>
    <row r="68">
      <c r="A68" t="str">
        <v/>
      </c>
      <c r="B68" t="str">
        <v/>
      </c>
      <c r="C68" t="str">
        <v/>
      </c>
      <c r="D68">
        <v>0</v>
      </c>
      <c r="E68">
        <f>E67+D68-C68</f>
      </c>
      <c r="F68">
        <f>IF(E68&lt;=0,"⚠ SOLDE ÉPUISÉ — faire verser 500 €","")</f>
      </c>
      <c r="G68" t="str">
        <v>Non</v>
      </c>
      <c r="H68">
        <f>IF(C68&gt;500,"⚠ Facture &gt; 500 € — à relancer","")</f>
      </c>
      <c r="I68">
        <f>SUM($C$2:$C$120)-SUMIF($G$2:$G$120,"Oui",$C$2:$C$120)</f>
      </c>
      <c r="J68">
        <f>IF(I68&gt;500,"⚠ ENVOYER MESSAGE PAIEMENT","")</f>
      </c>
      <c r="K68" t="str">
        <v>Non</v>
      </c>
      <c r="L68" t="str">
        <v/>
      </c>
    </row>
    <row r="69">
      <c r="A69" t="str">
        <v/>
      </c>
      <c r="B69" t="str">
        <v/>
      </c>
      <c r="C69" t="str">
        <v/>
      </c>
      <c r="D69">
        <v>0</v>
      </c>
      <c r="E69">
        <f>E68+D69-C69</f>
      </c>
      <c r="F69">
        <f>IF(E69&lt;=0,"⚠ SOLDE ÉPUISÉ — faire verser 500 €","")</f>
      </c>
      <c r="G69" t="str">
        <v>Non</v>
      </c>
      <c r="H69">
        <f>IF(C69&gt;500,"⚠ Facture &gt; 500 € — à relancer","")</f>
      </c>
      <c r="I69">
        <f>SUM($C$2:$C$120)-SUMIF($G$2:$G$120,"Oui",$C$2:$C$120)</f>
      </c>
      <c r="J69">
        <f>IF(I69&gt;500,"⚠ ENVOYER MESSAGE PAIEMENT","")</f>
      </c>
      <c r="K69" t="str">
        <v>Non</v>
      </c>
      <c r="L69" t="str">
        <v/>
      </c>
    </row>
    <row r="70">
      <c r="A70" t="str">
        <v/>
      </c>
      <c r="B70" t="str">
        <v/>
      </c>
      <c r="C70" t="str">
        <v/>
      </c>
      <c r="D70">
        <v>0</v>
      </c>
      <c r="E70">
        <f>E69+D70-C70</f>
      </c>
      <c r="F70">
        <f>IF(E70&lt;=0,"⚠ SOLDE ÉPUISÉ — faire verser 500 €","")</f>
      </c>
      <c r="G70" t="str">
        <v>Non</v>
      </c>
      <c r="H70">
        <f>IF(C70&gt;500,"⚠ Facture &gt; 500 € — à relancer","")</f>
      </c>
      <c r="I70">
        <f>SUM($C$2:$C$120)-SUMIF($G$2:$G$120,"Oui",$C$2:$C$120)</f>
      </c>
      <c r="J70">
        <f>IF(I70&gt;500,"⚠ ENVOYER MESSAGE PAIEMENT","")</f>
      </c>
      <c r="K70" t="str">
        <v>Non</v>
      </c>
      <c r="L70" t="str">
        <v/>
      </c>
    </row>
    <row r="71">
      <c r="A71" t="str">
        <v/>
      </c>
      <c r="B71" t="str">
        <v/>
      </c>
      <c r="C71" t="str">
        <v/>
      </c>
      <c r="D71">
        <v>0</v>
      </c>
      <c r="E71">
        <f>E70+D71-C71</f>
      </c>
      <c r="F71">
        <f>IF(E71&lt;=0,"⚠ SOLDE ÉPUISÉ — faire verser 500 €","")</f>
      </c>
      <c r="G71" t="str">
        <v>Non</v>
      </c>
      <c r="H71">
        <f>IF(C71&gt;500,"⚠ Facture &gt; 500 € — à relancer","")</f>
      </c>
      <c r="I71">
        <f>SUM($C$2:$C$120)-SUMIF($G$2:$G$120,"Oui",$C$2:$C$120)</f>
      </c>
      <c r="J71">
        <f>IF(I71&gt;500,"⚠ ENVOYER MESSAGE PAIEMENT","")</f>
      </c>
      <c r="K71" t="str">
        <v>Non</v>
      </c>
      <c r="L71" t="str">
        <v/>
      </c>
    </row>
    <row r="72">
      <c r="A72" t="str">
        <v/>
      </c>
      <c r="B72" t="str">
        <v/>
      </c>
      <c r="C72" t="str">
        <v/>
      </c>
      <c r="D72">
        <v>0</v>
      </c>
      <c r="E72">
        <f>E71+D72-C72</f>
      </c>
      <c r="F72">
        <f>IF(E72&lt;=0,"⚠ SOLDE ÉPUISÉ — faire verser 500 €","")</f>
      </c>
      <c r="G72" t="str">
        <v>Non</v>
      </c>
      <c r="H72">
        <f>IF(C72&gt;500,"⚠ Facture &gt; 500 € — à relancer","")</f>
      </c>
      <c r="I72">
        <f>SUM($C$2:$C$120)-SUMIF($G$2:$G$120,"Oui",$C$2:$C$120)</f>
      </c>
      <c r="J72">
        <f>IF(I72&gt;500,"⚠ ENVOYER MESSAGE PAIEMENT","")</f>
      </c>
      <c r="K72" t="str">
        <v>Non</v>
      </c>
      <c r="L72" t="str">
        <v/>
      </c>
    </row>
    <row r="73">
      <c r="A73" t="str">
        <v/>
      </c>
      <c r="B73" t="str">
        <v/>
      </c>
      <c r="C73" t="str">
        <v/>
      </c>
      <c r="D73">
        <v>0</v>
      </c>
      <c r="E73">
        <f>E72+D73-C73</f>
      </c>
      <c r="F73">
        <f>IF(E73&lt;=0,"⚠ SOLDE ÉPUISÉ — faire verser 500 €","")</f>
      </c>
      <c r="G73" t="str">
        <v>Non</v>
      </c>
      <c r="H73">
        <f>IF(C73&gt;500,"⚠ Facture &gt; 500 € — à relancer","")</f>
      </c>
      <c r="I73">
        <f>SUM($C$2:$C$120)-SUMIF($G$2:$G$120,"Oui",$C$2:$C$120)</f>
      </c>
      <c r="J73">
        <f>IF(I73&gt;500,"⚠ ENVOYER MESSAGE PAIEMENT","")</f>
      </c>
      <c r="K73" t="str">
        <v>Non</v>
      </c>
      <c r="L73" t="str">
        <v/>
      </c>
    </row>
    <row r="74">
      <c r="A74" t="str">
        <v/>
      </c>
      <c r="B74" t="str">
        <v/>
      </c>
      <c r="C74" t="str">
        <v/>
      </c>
      <c r="D74">
        <v>0</v>
      </c>
      <c r="E74">
        <f>E73+D74-C74</f>
      </c>
      <c r="F74">
        <f>IF(E74&lt;=0,"⚠ SOLDE ÉPUISÉ — faire verser 500 €","")</f>
      </c>
      <c r="G74" t="str">
        <v>Non</v>
      </c>
      <c r="H74">
        <f>IF(C74&gt;500,"⚠ Facture &gt; 500 € — à relancer","")</f>
      </c>
      <c r="I74">
        <f>SUM($C$2:$C$120)-SUMIF($G$2:$G$120,"Oui",$C$2:$C$120)</f>
      </c>
      <c r="J74">
        <f>IF(I74&gt;500,"⚠ ENVOYER MESSAGE PAIEMENT","")</f>
      </c>
      <c r="K74" t="str">
        <v>Non</v>
      </c>
      <c r="L74" t="str">
        <v/>
      </c>
    </row>
    <row r="75">
      <c r="A75" t="str">
        <v/>
      </c>
      <c r="B75" t="str">
        <v/>
      </c>
      <c r="C75" t="str">
        <v/>
      </c>
      <c r="D75">
        <v>0</v>
      </c>
      <c r="E75">
        <f>E74+D75-C75</f>
      </c>
      <c r="F75">
        <f>IF(E75&lt;=0,"⚠ SOLDE ÉPUISÉ — faire verser 500 €","")</f>
      </c>
      <c r="G75" t="str">
        <v>Non</v>
      </c>
      <c r="H75">
        <f>IF(C75&gt;500,"⚠ Facture &gt; 500 € — à relancer","")</f>
      </c>
      <c r="I75">
        <f>SUM($C$2:$C$120)-SUMIF($G$2:$G$120,"Oui",$C$2:$C$120)</f>
      </c>
      <c r="J75">
        <f>IF(I75&gt;500,"⚠ ENVOYER MESSAGE PAIEMENT","")</f>
      </c>
      <c r="K75" t="str">
        <v>Non</v>
      </c>
      <c r="L75" t="str">
        <v/>
      </c>
    </row>
    <row r="76">
      <c r="A76" t="str">
        <v/>
      </c>
      <c r="B76" t="str">
        <v/>
      </c>
      <c r="C76" t="str">
        <v/>
      </c>
      <c r="D76">
        <v>0</v>
      </c>
      <c r="E76">
        <f>E75+D76-C76</f>
      </c>
      <c r="F76">
        <f>IF(E76&lt;=0,"⚠ SOLDE ÉPUISÉ — faire verser 500 €","")</f>
      </c>
      <c r="G76" t="str">
        <v>Non</v>
      </c>
      <c r="H76">
        <f>IF(C76&gt;500,"⚠ Facture &gt; 500 € — à relancer","")</f>
      </c>
      <c r="I76">
        <f>SUM($C$2:$C$120)-SUMIF($G$2:$G$120,"Oui",$C$2:$C$120)</f>
      </c>
      <c r="J76">
        <f>IF(I76&gt;500,"⚠ ENVOYER MESSAGE PAIEMENT","")</f>
      </c>
      <c r="K76" t="str">
        <v>Non</v>
      </c>
      <c r="L76" t="str">
        <v/>
      </c>
    </row>
    <row r="77">
      <c r="A77" t="str">
        <v/>
      </c>
      <c r="B77" t="str">
        <v/>
      </c>
      <c r="C77" t="str">
        <v/>
      </c>
      <c r="D77">
        <v>0</v>
      </c>
      <c r="E77">
        <f>E76+D77-C77</f>
      </c>
      <c r="F77">
        <f>IF(E77&lt;=0,"⚠ SOLDE ÉPUISÉ — faire verser 500 €","")</f>
      </c>
      <c r="G77" t="str">
        <v>Non</v>
      </c>
      <c r="H77">
        <f>IF(C77&gt;500,"⚠ Facture &gt; 500 € — à relancer","")</f>
      </c>
      <c r="I77">
        <f>SUM($C$2:$C$120)-SUMIF($G$2:$G$120,"Oui",$C$2:$C$120)</f>
      </c>
      <c r="J77">
        <f>IF(I77&gt;500,"⚠ ENVOYER MESSAGE PAIEMENT","")</f>
      </c>
      <c r="K77" t="str">
        <v>Non</v>
      </c>
      <c r="L77" t="str">
        <v/>
      </c>
    </row>
    <row r="78">
      <c r="A78" t="str">
        <v/>
      </c>
      <c r="B78" t="str">
        <v/>
      </c>
      <c r="C78" t="str">
        <v/>
      </c>
      <c r="D78">
        <v>0</v>
      </c>
      <c r="E78">
        <f>E77+D78-C78</f>
      </c>
      <c r="F78">
        <f>IF(E78&lt;=0,"⚠ SOLDE ÉPUISÉ — faire verser 500 €","")</f>
      </c>
      <c r="G78" t="str">
        <v>Non</v>
      </c>
      <c r="H78">
        <f>IF(C78&gt;500,"⚠ Facture &gt; 500 € — à relancer","")</f>
      </c>
      <c r="I78">
        <f>SUM($C$2:$C$120)-SUMIF($G$2:$G$120,"Oui",$C$2:$C$120)</f>
      </c>
      <c r="J78">
        <f>IF(I78&gt;500,"⚠ ENVOYER MESSAGE PAIEMENT","")</f>
      </c>
      <c r="K78" t="str">
        <v>Non</v>
      </c>
      <c r="L78" t="str">
        <v/>
      </c>
    </row>
    <row r="79">
      <c r="A79" t="str">
        <v/>
      </c>
      <c r="B79" t="str">
        <v/>
      </c>
      <c r="C79" t="str">
        <v/>
      </c>
      <c r="D79">
        <v>0</v>
      </c>
      <c r="E79">
        <f>E78+D79-C79</f>
      </c>
      <c r="F79">
        <f>IF(E79&lt;=0,"⚠ SOLDE ÉPUISÉ — faire verser 500 €","")</f>
      </c>
      <c r="G79" t="str">
        <v>Non</v>
      </c>
      <c r="H79">
        <f>IF(C79&gt;500,"⚠ Facture &gt; 500 € — à relancer","")</f>
      </c>
      <c r="I79">
        <f>SUM($C$2:$C$120)-SUMIF($G$2:$G$120,"Oui",$C$2:$C$120)</f>
      </c>
      <c r="J79">
        <f>IF(I79&gt;500,"⚠ ENVOYER MESSAGE PAIEMENT","")</f>
      </c>
      <c r="K79" t="str">
        <v>Non</v>
      </c>
      <c r="L79" t="str">
        <v/>
      </c>
    </row>
    <row r="80">
      <c r="A80" t="str">
        <v/>
      </c>
      <c r="B80" t="str">
        <v/>
      </c>
      <c r="C80" t="str">
        <v/>
      </c>
      <c r="D80">
        <v>0</v>
      </c>
      <c r="E80">
        <f>E79+D80-C80</f>
      </c>
      <c r="F80">
        <f>IF(E80&lt;=0,"⚠ SOLDE ÉPUISÉ — faire verser 500 €","")</f>
      </c>
      <c r="G80" t="str">
        <v>Non</v>
      </c>
      <c r="H80">
        <f>IF(C80&gt;500,"⚠ Facture &gt; 500 € — à relancer","")</f>
      </c>
      <c r="I80">
        <f>SUM($C$2:$C$120)-SUMIF($G$2:$G$120,"Oui",$C$2:$C$120)</f>
      </c>
      <c r="J80">
        <f>IF(I80&gt;500,"⚠ ENVOYER MESSAGE PAIEMENT","")</f>
      </c>
      <c r="K80" t="str">
        <v>Non</v>
      </c>
      <c r="L80" t="str">
        <v/>
      </c>
    </row>
    <row r="81">
      <c r="A81" t="str">
        <v/>
      </c>
      <c r="B81" t="str">
        <v/>
      </c>
      <c r="C81" t="str">
        <v/>
      </c>
      <c r="D81">
        <v>0</v>
      </c>
      <c r="E81">
        <f>E80+D81-C81</f>
      </c>
      <c r="F81">
        <f>IF(E81&lt;=0,"⚠ SOLDE ÉPUISÉ — faire verser 500 €","")</f>
      </c>
      <c r="G81" t="str">
        <v>Non</v>
      </c>
      <c r="H81">
        <f>IF(C81&gt;500,"⚠ Facture &gt; 500 € — à relancer","")</f>
      </c>
      <c r="I81">
        <f>SUM($C$2:$C$120)-SUMIF($G$2:$G$120,"Oui",$C$2:$C$120)</f>
      </c>
      <c r="J81">
        <f>IF(I81&gt;500,"⚠ ENVOYER MESSAGE PAIEMENT","")</f>
      </c>
      <c r="K81" t="str">
        <v>Non</v>
      </c>
      <c r="L81" t="str">
        <v/>
      </c>
    </row>
    <row r="82">
      <c r="A82" t="str">
        <v/>
      </c>
      <c r="B82" t="str">
        <v/>
      </c>
      <c r="C82" t="str">
        <v/>
      </c>
      <c r="D82">
        <v>0</v>
      </c>
      <c r="E82">
        <f>E81+D82-C82</f>
      </c>
      <c r="F82">
        <f>IF(E82&lt;=0,"⚠ SOLDE ÉPUISÉ — faire verser 500 €","")</f>
      </c>
      <c r="G82" t="str">
        <v>Non</v>
      </c>
      <c r="H82">
        <f>IF(C82&gt;500,"⚠ Facture &gt; 500 € — à relancer","")</f>
      </c>
      <c r="I82">
        <f>SUM($C$2:$C$120)-SUMIF($G$2:$G$120,"Oui",$C$2:$C$120)</f>
      </c>
      <c r="J82">
        <f>IF(I82&gt;500,"⚠ ENVOYER MESSAGE PAIEMENT","")</f>
      </c>
      <c r="K82" t="str">
        <v>Non</v>
      </c>
      <c r="L82" t="str">
        <v/>
      </c>
    </row>
    <row r="83">
      <c r="A83" t="str">
        <v/>
      </c>
      <c r="B83" t="str">
        <v/>
      </c>
      <c r="C83" t="str">
        <v/>
      </c>
      <c r="D83">
        <v>0</v>
      </c>
      <c r="E83">
        <f>E82+D83-C83</f>
      </c>
      <c r="F83">
        <f>IF(E83&lt;=0,"⚠ SOLDE ÉPUISÉ — faire verser 500 €","")</f>
      </c>
      <c r="G83" t="str">
        <v>Non</v>
      </c>
      <c r="H83">
        <f>IF(C83&gt;500,"⚠ Facture &gt; 500 € — à relancer","")</f>
      </c>
      <c r="I83">
        <f>SUM($C$2:$C$120)-SUMIF($G$2:$G$120,"Oui",$C$2:$C$120)</f>
      </c>
      <c r="J83">
        <f>IF(I83&gt;500,"⚠ ENVOYER MESSAGE PAIEMENT","")</f>
      </c>
      <c r="K83" t="str">
        <v>Non</v>
      </c>
      <c r="L83" t="str">
        <v/>
      </c>
    </row>
    <row r="84">
      <c r="A84" t="str">
        <v/>
      </c>
      <c r="B84" t="str">
        <v/>
      </c>
      <c r="C84" t="str">
        <v/>
      </c>
      <c r="D84">
        <v>0</v>
      </c>
      <c r="E84">
        <f>E83+D84-C84</f>
      </c>
      <c r="F84">
        <f>IF(E84&lt;=0,"⚠ SOLDE ÉPUISÉ — faire verser 500 €","")</f>
      </c>
      <c r="G84" t="str">
        <v>Non</v>
      </c>
      <c r="H84">
        <f>IF(C84&gt;500,"⚠ Facture &gt; 500 € — à relancer","")</f>
      </c>
      <c r="I84">
        <f>SUM($C$2:$C$120)-SUMIF($G$2:$G$120,"Oui",$C$2:$C$120)</f>
      </c>
      <c r="J84">
        <f>IF(I84&gt;500,"⚠ ENVOYER MESSAGE PAIEMENT","")</f>
      </c>
      <c r="K84" t="str">
        <v>Non</v>
      </c>
      <c r="L84" t="str">
        <v/>
      </c>
    </row>
    <row r="85">
      <c r="A85" t="str">
        <v/>
      </c>
      <c r="B85" t="str">
        <v/>
      </c>
      <c r="C85" t="str">
        <v/>
      </c>
      <c r="D85">
        <v>0</v>
      </c>
      <c r="E85">
        <f>E84+D85-C85</f>
      </c>
      <c r="F85">
        <f>IF(E85&lt;=0,"⚠ SOLDE ÉPUISÉ — faire verser 500 €","")</f>
      </c>
      <c r="G85" t="str">
        <v>Non</v>
      </c>
      <c r="H85">
        <f>IF(C85&gt;500,"⚠ Facture &gt; 500 € — à relancer","")</f>
      </c>
      <c r="I85">
        <f>SUM($C$2:$C$120)-SUMIF($G$2:$G$120,"Oui",$C$2:$C$120)</f>
      </c>
      <c r="J85">
        <f>IF(I85&gt;500,"⚠ ENVOYER MESSAGE PAIEMENT","")</f>
      </c>
      <c r="K85" t="str">
        <v>Non</v>
      </c>
      <c r="L85" t="str">
        <v/>
      </c>
    </row>
    <row r="86">
      <c r="A86" t="str">
        <v/>
      </c>
      <c r="B86" t="str">
        <v/>
      </c>
      <c r="C86" t="str">
        <v/>
      </c>
      <c r="D86">
        <v>0</v>
      </c>
      <c r="E86">
        <f>E85+D86-C86</f>
      </c>
      <c r="F86">
        <f>IF(E86&lt;=0,"⚠ SOLDE ÉPUISÉ — faire verser 500 €","")</f>
      </c>
      <c r="G86" t="str">
        <v>Non</v>
      </c>
      <c r="H86">
        <f>IF(C86&gt;500,"⚠ Facture &gt; 500 € — à relancer","")</f>
      </c>
      <c r="I86">
        <f>SUM($C$2:$C$120)-SUMIF($G$2:$G$120,"Oui",$C$2:$C$120)</f>
      </c>
      <c r="J86">
        <f>IF(I86&gt;500,"⚠ ENVOYER MESSAGE PAIEMENT","")</f>
      </c>
      <c r="K86" t="str">
        <v>Non</v>
      </c>
      <c r="L86" t="str">
        <v/>
      </c>
    </row>
    <row r="87">
      <c r="A87" t="str">
        <v/>
      </c>
      <c r="B87" t="str">
        <v/>
      </c>
      <c r="C87" t="str">
        <v/>
      </c>
      <c r="D87">
        <v>0</v>
      </c>
      <c r="E87">
        <f>E86+D87-C87</f>
      </c>
      <c r="F87">
        <f>IF(E87&lt;=0,"⚠ SOLDE ÉPUISÉ — faire verser 500 €","")</f>
      </c>
      <c r="G87" t="str">
        <v>Non</v>
      </c>
      <c r="H87">
        <f>IF(C87&gt;500,"⚠ Facture &gt; 500 € — à relancer","")</f>
      </c>
      <c r="I87">
        <f>SUM($C$2:$C$120)-SUMIF($G$2:$G$120,"Oui",$C$2:$C$120)</f>
      </c>
      <c r="J87">
        <f>IF(I87&gt;500,"⚠ ENVOYER MESSAGE PAIEMENT","")</f>
      </c>
      <c r="K87" t="str">
        <v>Non</v>
      </c>
      <c r="L87" t="str">
        <v/>
      </c>
    </row>
    <row r="88">
      <c r="A88" t="str">
        <v/>
      </c>
      <c r="B88" t="str">
        <v/>
      </c>
      <c r="C88" t="str">
        <v/>
      </c>
      <c r="D88">
        <v>0</v>
      </c>
      <c r="E88">
        <f>E87+D88-C88</f>
      </c>
      <c r="F88">
        <f>IF(E88&lt;=0,"⚠ SOLDE ÉPUISÉ — faire verser 500 €","")</f>
      </c>
      <c r="G88" t="str">
        <v>Non</v>
      </c>
      <c r="H88">
        <f>IF(C88&gt;500,"⚠ Facture &gt; 500 € — à relancer","")</f>
      </c>
      <c r="I88">
        <f>SUM($C$2:$C$120)-SUMIF($G$2:$G$120,"Oui",$C$2:$C$120)</f>
      </c>
      <c r="J88">
        <f>IF(I88&gt;500,"⚠ ENVOYER MESSAGE PAIEMENT","")</f>
      </c>
      <c r="K88" t="str">
        <v>Non</v>
      </c>
      <c r="L88" t="str">
        <v/>
      </c>
    </row>
    <row r="89">
      <c r="A89" t="str">
        <v/>
      </c>
      <c r="B89" t="str">
        <v/>
      </c>
      <c r="C89" t="str">
        <v/>
      </c>
      <c r="D89">
        <v>0</v>
      </c>
      <c r="E89">
        <f>E88+D89-C89</f>
      </c>
      <c r="F89">
        <f>IF(E89&lt;=0,"⚠ SOLDE ÉPUISÉ — faire verser 500 €","")</f>
      </c>
      <c r="G89" t="str">
        <v>Non</v>
      </c>
      <c r="H89">
        <f>IF(C89&gt;500,"⚠ Facture &gt; 500 € — à relancer","")</f>
      </c>
      <c r="I89">
        <f>SUM($C$2:$C$120)-SUMIF($G$2:$G$120,"Oui",$C$2:$C$120)</f>
      </c>
      <c r="J89">
        <f>IF(I89&gt;500,"⚠ ENVOYER MESSAGE PAIEMENT","")</f>
      </c>
      <c r="K89" t="str">
        <v>Non</v>
      </c>
      <c r="L89" t="str">
        <v/>
      </c>
    </row>
    <row r="90">
      <c r="A90" t="str">
        <v/>
      </c>
      <c r="B90" t="str">
        <v/>
      </c>
      <c r="C90" t="str">
        <v/>
      </c>
      <c r="D90">
        <v>0</v>
      </c>
      <c r="E90">
        <f>E89+D90-C90</f>
      </c>
      <c r="F90">
        <f>IF(E90&lt;=0,"⚠ SOLDE ÉPUISÉ — faire verser 500 €","")</f>
      </c>
      <c r="G90" t="str">
        <v>Non</v>
      </c>
      <c r="H90">
        <f>IF(C90&gt;500,"⚠ Facture &gt; 500 € — à relancer","")</f>
      </c>
      <c r="I90">
        <f>SUM($C$2:$C$120)-SUMIF($G$2:$G$120,"Oui",$C$2:$C$120)</f>
      </c>
      <c r="J90">
        <f>IF(I90&gt;500,"⚠ ENVOYER MESSAGE PAIEMENT","")</f>
      </c>
      <c r="K90" t="str">
        <v>Non</v>
      </c>
      <c r="L90" t="str">
        <v/>
      </c>
    </row>
    <row r="91">
      <c r="A91" t="str">
        <v/>
      </c>
      <c r="B91" t="str">
        <v/>
      </c>
      <c r="C91" t="str">
        <v/>
      </c>
      <c r="D91">
        <v>0</v>
      </c>
      <c r="E91">
        <f>E90+D91-C91</f>
      </c>
      <c r="F91">
        <f>IF(E91&lt;=0,"⚠ SOLDE ÉPUISÉ — faire verser 500 €","")</f>
      </c>
      <c r="G91" t="str">
        <v>Non</v>
      </c>
      <c r="H91">
        <f>IF(C91&gt;500,"⚠ Facture &gt; 500 € — à relancer","")</f>
      </c>
      <c r="I91">
        <f>SUM($C$2:$C$120)-SUMIF($G$2:$G$120,"Oui",$C$2:$C$120)</f>
      </c>
      <c r="J91">
        <f>IF(I91&gt;500,"⚠ ENVOYER MESSAGE PAIEMENT","")</f>
      </c>
      <c r="K91" t="str">
        <v>Non</v>
      </c>
      <c r="L91" t="str">
        <v/>
      </c>
    </row>
    <row r="92">
      <c r="A92" t="str">
        <v/>
      </c>
      <c r="B92" t="str">
        <v/>
      </c>
      <c r="C92" t="str">
        <v/>
      </c>
      <c r="D92">
        <v>0</v>
      </c>
      <c r="E92">
        <f>E91+D92-C92</f>
      </c>
      <c r="F92">
        <f>IF(E92&lt;=0,"⚠ SOLDE ÉPUISÉ — faire verser 500 €","")</f>
      </c>
      <c r="G92" t="str">
        <v>Non</v>
      </c>
      <c r="H92">
        <f>IF(C92&gt;500,"⚠ Facture &gt; 500 € — à relancer","")</f>
      </c>
      <c r="I92">
        <f>SUM($C$2:$C$120)-SUMIF($G$2:$G$120,"Oui",$C$2:$C$120)</f>
      </c>
      <c r="J92">
        <f>IF(I92&gt;500,"⚠ ENVOYER MESSAGE PAIEMENT","")</f>
      </c>
      <c r="K92" t="str">
        <v>Non</v>
      </c>
      <c r="L92" t="str">
        <v/>
      </c>
    </row>
    <row r="93">
      <c r="A93" t="str">
        <v/>
      </c>
      <c r="B93" t="str">
        <v/>
      </c>
      <c r="C93" t="str">
        <v/>
      </c>
      <c r="D93">
        <v>0</v>
      </c>
      <c r="E93">
        <f>E92+D93-C93</f>
      </c>
      <c r="F93">
        <f>IF(E93&lt;=0,"⚠ SOLDE ÉPUISÉ — faire verser 500 €","")</f>
      </c>
      <c r="G93" t="str">
        <v>Non</v>
      </c>
      <c r="H93">
        <f>IF(C93&gt;500,"⚠ Facture &gt; 500 € — à relancer","")</f>
      </c>
      <c r="I93">
        <f>SUM($C$2:$C$120)-SUMIF($G$2:$G$120,"Oui",$C$2:$C$120)</f>
      </c>
      <c r="J93">
        <f>IF(I93&gt;500,"⚠ ENVOYER MESSAGE PAIEMENT","")</f>
      </c>
      <c r="K93" t="str">
        <v>Non</v>
      </c>
      <c r="L93" t="str">
        <v/>
      </c>
    </row>
    <row r="94">
      <c r="A94" t="str">
        <v/>
      </c>
      <c r="B94" t="str">
        <v/>
      </c>
      <c r="C94" t="str">
        <v/>
      </c>
      <c r="D94">
        <v>0</v>
      </c>
      <c r="E94">
        <f>E93+D94-C94</f>
      </c>
      <c r="F94">
        <f>IF(E94&lt;=0,"⚠ SOLDE ÉPUISÉ — faire verser 500 €","")</f>
      </c>
      <c r="G94" t="str">
        <v>Non</v>
      </c>
      <c r="H94">
        <f>IF(C94&gt;500,"⚠ Facture &gt; 500 € — à relancer","")</f>
      </c>
      <c r="I94">
        <f>SUM($C$2:$C$120)-SUMIF($G$2:$G$120,"Oui",$C$2:$C$120)</f>
      </c>
      <c r="J94">
        <f>IF(I94&gt;500,"⚠ ENVOYER MESSAGE PAIEMENT","")</f>
      </c>
      <c r="K94" t="str">
        <v>Non</v>
      </c>
      <c r="L94" t="str">
        <v/>
      </c>
    </row>
    <row r="95">
      <c r="A95" t="str">
        <v/>
      </c>
      <c r="B95" t="str">
        <v/>
      </c>
      <c r="C95" t="str">
        <v/>
      </c>
      <c r="D95">
        <v>0</v>
      </c>
      <c r="E95">
        <f>E94+D95-C95</f>
      </c>
      <c r="F95">
        <f>IF(E95&lt;=0,"⚠ SOLDE ÉPUISÉ — faire verser 500 €","")</f>
      </c>
      <c r="G95" t="str">
        <v>Non</v>
      </c>
      <c r="H95">
        <f>IF(C95&gt;500,"⚠ Facture &gt; 500 € — à relancer","")</f>
      </c>
      <c r="I95">
        <f>SUM($C$2:$C$120)-SUMIF($G$2:$G$120,"Oui",$C$2:$C$120)</f>
      </c>
      <c r="J95">
        <f>IF(I95&gt;500,"⚠ ENVOYER MESSAGE PAIEMENT","")</f>
      </c>
      <c r="K95" t="str">
        <v>Non</v>
      </c>
      <c r="L95" t="str">
        <v/>
      </c>
    </row>
    <row r="96">
      <c r="A96" t="str">
        <v/>
      </c>
      <c r="B96" t="str">
        <v/>
      </c>
      <c r="C96" t="str">
        <v/>
      </c>
      <c r="D96">
        <v>0</v>
      </c>
      <c r="E96">
        <f>E95+D96-C96</f>
      </c>
      <c r="F96">
        <f>IF(E96&lt;=0,"⚠ SOLDE ÉPUISÉ — faire verser 500 €","")</f>
      </c>
      <c r="G96" t="str">
        <v>Non</v>
      </c>
      <c r="H96">
        <f>IF(C96&gt;500,"⚠ Facture &gt; 500 € — à relancer","")</f>
      </c>
      <c r="I96">
        <f>SUM($C$2:$C$120)-SUMIF($G$2:$G$120,"Oui",$C$2:$C$120)</f>
      </c>
      <c r="J96">
        <f>IF(I96&gt;500,"⚠ ENVOYER MESSAGE PAIEMENT","")</f>
      </c>
      <c r="K96" t="str">
        <v>Non</v>
      </c>
      <c r="L96" t="str">
        <v/>
      </c>
    </row>
    <row r="97">
      <c r="A97" t="str">
        <v/>
      </c>
      <c r="B97" t="str">
        <v/>
      </c>
      <c r="C97" t="str">
        <v/>
      </c>
      <c r="D97">
        <v>0</v>
      </c>
      <c r="E97">
        <f>E96+D97-C97</f>
      </c>
      <c r="F97">
        <f>IF(E97&lt;=0,"⚠ SOLDE ÉPUISÉ — faire verser 500 €","")</f>
      </c>
      <c r="G97" t="str">
        <v>Non</v>
      </c>
      <c r="H97">
        <f>IF(C97&gt;500,"⚠ Facture &gt; 500 € — à relancer","")</f>
      </c>
      <c r="I97">
        <f>SUM($C$2:$C$120)-SUMIF($G$2:$G$120,"Oui",$C$2:$C$120)</f>
      </c>
      <c r="J97">
        <f>IF(I97&gt;500,"⚠ ENVOYER MESSAGE PAIEMENT","")</f>
      </c>
      <c r="K97" t="str">
        <v>Non</v>
      </c>
      <c r="L97" t="str">
        <v/>
      </c>
    </row>
    <row r="98">
      <c r="A98" t="str">
        <v/>
      </c>
      <c r="B98" t="str">
        <v/>
      </c>
      <c r="C98" t="str">
        <v/>
      </c>
      <c r="D98">
        <v>0</v>
      </c>
      <c r="E98">
        <f>E97+D98-C98</f>
      </c>
      <c r="F98">
        <f>IF(E98&lt;=0,"⚠ SOLDE ÉPUISÉ — faire verser 500 €","")</f>
      </c>
      <c r="G98" t="str">
        <v>Non</v>
      </c>
      <c r="H98">
        <f>IF(C98&gt;500,"⚠ Facture &gt; 500 € — à relancer","")</f>
      </c>
      <c r="I98">
        <f>SUM($C$2:$C$120)-SUMIF($G$2:$G$120,"Oui",$C$2:$C$120)</f>
      </c>
      <c r="J98">
        <f>IF(I98&gt;500,"⚠ ENVOYER MESSAGE PAIEMENT","")</f>
      </c>
      <c r="K98" t="str">
        <v>Non</v>
      </c>
      <c r="L98" t="str">
        <v/>
      </c>
    </row>
    <row r="99">
      <c r="A99" t="str">
        <v/>
      </c>
      <c r="B99" t="str">
        <v/>
      </c>
      <c r="C99" t="str">
        <v/>
      </c>
      <c r="D99">
        <v>0</v>
      </c>
      <c r="E99">
        <f>E98+D99-C99</f>
      </c>
      <c r="F99">
        <f>IF(E99&lt;=0,"⚠ SOLDE ÉPUISÉ — faire verser 500 €","")</f>
      </c>
      <c r="G99" t="str">
        <v>Non</v>
      </c>
      <c r="H99">
        <f>IF(C99&gt;500,"⚠ Facture &gt; 500 € — à relancer","")</f>
      </c>
      <c r="I99">
        <f>SUM($C$2:$C$120)-SUMIF($G$2:$G$120,"Oui",$C$2:$C$120)</f>
      </c>
      <c r="J99">
        <f>IF(I99&gt;500,"⚠ ENVOYER MESSAGE PAIEMENT","")</f>
      </c>
      <c r="K99" t="str">
        <v>Non</v>
      </c>
      <c r="L99" t="str">
        <v/>
      </c>
    </row>
    <row r="100">
      <c r="A100" t="str">
        <v/>
      </c>
      <c r="B100" t="str">
        <v/>
      </c>
      <c r="C100" t="str">
        <v/>
      </c>
      <c r="D100">
        <v>0</v>
      </c>
      <c r="E100">
        <f>E99+D100-C100</f>
      </c>
      <c r="F100">
        <f>IF(E100&lt;=0,"⚠ SOLDE ÉPUISÉ — faire verser 500 €","")</f>
      </c>
      <c r="G100" t="str">
        <v>Non</v>
      </c>
      <c r="H100">
        <f>IF(C100&gt;500,"⚠ Facture &gt; 500 € — à relancer","")</f>
      </c>
      <c r="I100">
        <f>SUM($C$2:$C$120)-SUMIF($G$2:$G$120,"Oui",$C$2:$C$120)</f>
      </c>
      <c r="J100">
        <f>IF(I100&gt;500,"⚠ ENVOYER MESSAGE PAIEMENT","")</f>
      </c>
      <c r="K100" t="str">
        <v>Non</v>
      </c>
      <c r="L100" t="str">
        <v/>
      </c>
    </row>
    <row r="101">
      <c r="A101" t="str">
        <v/>
      </c>
      <c r="B101" t="str">
        <v/>
      </c>
      <c r="C101" t="str">
        <v/>
      </c>
      <c r="D101">
        <v>0</v>
      </c>
      <c r="E101">
        <f>E100+D101-C101</f>
      </c>
      <c r="F101">
        <f>IF(E101&lt;=0,"⚠ SOLDE ÉPUISÉ — faire verser 500 €","")</f>
      </c>
      <c r="G101" t="str">
        <v>Non</v>
      </c>
      <c r="H101">
        <f>IF(C101&gt;500,"⚠ Facture &gt; 500 € — à relancer","")</f>
      </c>
      <c r="I101">
        <f>SUM($C$2:$C$120)-SUMIF($G$2:$G$120,"Oui",$C$2:$C$120)</f>
      </c>
      <c r="J101">
        <f>IF(I101&gt;500,"⚠ ENVOYER MESSAGE PAIEMENT","")</f>
      </c>
      <c r="K101" t="str">
        <v>Non</v>
      </c>
      <c r="L101" t="str">
        <v/>
      </c>
    </row>
    <row r="102">
      <c r="A102" t="str">
        <v/>
      </c>
      <c r="B102" t="str">
        <v/>
      </c>
      <c r="C102" t="str">
        <v/>
      </c>
      <c r="D102">
        <v>0</v>
      </c>
      <c r="E102">
        <f>E101+D102-C102</f>
      </c>
      <c r="F102">
        <f>IF(E102&lt;=0,"⚠ SOLDE ÉPUISÉ — faire verser 500 €","")</f>
      </c>
      <c r="G102" t="str">
        <v>Non</v>
      </c>
      <c r="H102">
        <f>IF(C102&gt;500,"⚠ Facture &gt; 500 € — à relancer","")</f>
      </c>
      <c r="I102">
        <f>SUM($C$2:$C$120)-SUMIF($G$2:$G$120,"Oui",$C$2:$C$120)</f>
      </c>
      <c r="J102">
        <f>IF(I102&gt;500,"⚠ ENVOYER MESSAGE PAIEMENT","")</f>
      </c>
      <c r="K102" t="str">
        <v>Non</v>
      </c>
      <c r="L102" t="str">
        <v/>
      </c>
    </row>
    <row r="103">
      <c r="A103" t="str">
        <v/>
      </c>
      <c r="B103" t="str">
        <v/>
      </c>
      <c r="C103" t="str">
        <v/>
      </c>
      <c r="D103">
        <v>0</v>
      </c>
      <c r="E103">
        <f>E102+D103-C103</f>
      </c>
      <c r="F103">
        <f>IF(E103&lt;=0,"⚠ SOLDE ÉPUISÉ — faire verser 500 €","")</f>
      </c>
      <c r="G103" t="str">
        <v>Non</v>
      </c>
      <c r="H103">
        <f>IF(C103&gt;500,"⚠ Facture &gt; 500 € — à relancer","")</f>
      </c>
      <c r="I103">
        <f>SUM($C$2:$C$120)-SUMIF($G$2:$G$120,"Oui",$C$2:$C$120)</f>
      </c>
      <c r="J103">
        <f>IF(I103&gt;500,"⚠ ENVOYER MESSAGE PAIEMENT","")</f>
      </c>
      <c r="K103" t="str">
        <v>Non</v>
      </c>
      <c r="L103" t="str">
        <v/>
      </c>
    </row>
    <row r="104">
      <c r="A104" t="str">
        <v/>
      </c>
      <c r="B104" t="str">
        <v/>
      </c>
      <c r="C104" t="str">
        <v/>
      </c>
      <c r="D104">
        <v>0</v>
      </c>
      <c r="E104">
        <f>E103+D104-C104</f>
      </c>
      <c r="F104">
        <f>IF(E104&lt;=0,"⚠ SOLDE ÉPUISÉ — faire verser 500 €","")</f>
      </c>
      <c r="G104" t="str">
        <v>Non</v>
      </c>
      <c r="H104">
        <f>IF(C104&gt;500,"⚠ Facture &gt; 500 € — à relancer","")</f>
      </c>
      <c r="I104">
        <f>SUM($C$2:$C$120)-SUMIF($G$2:$G$120,"Oui",$C$2:$C$120)</f>
      </c>
      <c r="J104">
        <f>IF(I104&gt;500,"⚠ ENVOYER MESSAGE PAIEMENT","")</f>
      </c>
      <c r="K104" t="str">
        <v>Non</v>
      </c>
      <c r="L104" t="str">
        <v/>
      </c>
    </row>
    <row r="105">
      <c r="A105" t="str">
        <v/>
      </c>
      <c r="B105" t="str">
        <v/>
      </c>
      <c r="C105" t="str">
        <v/>
      </c>
      <c r="D105">
        <v>0</v>
      </c>
      <c r="E105">
        <f>E104+D105-C105</f>
      </c>
      <c r="F105">
        <f>IF(E105&lt;=0,"⚠ SOLDE ÉPUISÉ — faire verser 500 €","")</f>
      </c>
      <c r="G105" t="str">
        <v>Non</v>
      </c>
      <c r="H105">
        <f>IF(C105&gt;500,"⚠ Facture &gt; 500 € — à relancer","")</f>
      </c>
      <c r="I105">
        <f>SUM($C$2:$C$120)-SUMIF($G$2:$G$120,"Oui",$C$2:$C$120)</f>
      </c>
      <c r="J105">
        <f>IF(I105&gt;500,"⚠ ENVOYER MESSAGE PAIEMENT","")</f>
      </c>
      <c r="K105" t="str">
        <v>Non</v>
      </c>
      <c r="L105" t="str">
        <v/>
      </c>
    </row>
    <row r="106">
      <c r="A106" t="str">
        <v/>
      </c>
      <c r="B106" t="str">
        <v/>
      </c>
      <c r="C106" t="str">
        <v/>
      </c>
      <c r="D106">
        <v>0</v>
      </c>
      <c r="E106">
        <f>E105+D106-C106</f>
      </c>
      <c r="F106">
        <f>IF(E106&lt;=0,"⚠ SOLDE ÉPUISÉ — faire verser 500 €","")</f>
      </c>
      <c r="G106" t="str">
        <v>Non</v>
      </c>
      <c r="H106">
        <f>IF(C106&gt;500,"⚠ Facture &gt; 500 € — à relancer","")</f>
      </c>
      <c r="I106">
        <f>SUM($C$2:$C$120)-SUMIF($G$2:$G$120,"Oui",$C$2:$C$120)</f>
      </c>
      <c r="J106">
        <f>IF(I106&gt;500,"⚠ ENVOYER MESSAGE PAIEMENT","")</f>
      </c>
      <c r="K106" t="str">
        <v>Non</v>
      </c>
      <c r="L106" t="str">
        <v/>
      </c>
    </row>
    <row r="107">
      <c r="A107" t="str">
        <v/>
      </c>
      <c r="B107" t="str">
        <v/>
      </c>
      <c r="C107" t="str">
        <v/>
      </c>
      <c r="D107">
        <v>0</v>
      </c>
      <c r="E107">
        <f>E106+D107-C107</f>
      </c>
      <c r="F107">
        <f>IF(E107&lt;=0,"⚠ SOLDE ÉPUISÉ — faire verser 500 €","")</f>
      </c>
      <c r="G107" t="str">
        <v>Non</v>
      </c>
      <c r="H107">
        <f>IF(C107&gt;500,"⚠ Facture &gt; 500 € — à relancer","")</f>
      </c>
      <c r="I107">
        <f>SUM($C$2:$C$120)-SUMIF($G$2:$G$120,"Oui",$C$2:$C$120)</f>
      </c>
      <c r="J107">
        <f>IF(I107&gt;500,"⚠ ENVOYER MESSAGE PAIEMENT","")</f>
      </c>
      <c r="K107" t="str">
        <v>Non</v>
      </c>
      <c r="L107" t="str">
        <v/>
      </c>
    </row>
    <row r="108">
      <c r="A108" t="str">
        <v/>
      </c>
      <c r="B108" t="str">
        <v/>
      </c>
      <c r="C108" t="str">
        <v/>
      </c>
      <c r="D108">
        <v>0</v>
      </c>
      <c r="E108">
        <f>E107+D108-C108</f>
      </c>
      <c r="F108">
        <f>IF(E108&lt;=0,"⚠ SOLDE ÉPUISÉ — faire verser 500 €","")</f>
      </c>
      <c r="G108" t="str">
        <v>Non</v>
      </c>
      <c r="H108">
        <f>IF(C108&gt;500,"⚠ Facture &gt; 500 € — à relancer","")</f>
      </c>
      <c r="I108">
        <f>SUM($C$2:$C$120)-SUMIF($G$2:$G$120,"Oui",$C$2:$C$120)</f>
      </c>
      <c r="J108">
        <f>IF(I108&gt;500,"⚠ ENVOYER MESSAGE PAIEMENT","")</f>
      </c>
      <c r="K108" t="str">
        <v>Non</v>
      </c>
      <c r="L108" t="str">
        <v/>
      </c>
    </row>
    <row r="109">
      <c r="A109" t="str">
        <v/>
      </c>
      <c r="B109" t="str">
        <v/>
      </c>
      <c r="C109" t="str">
        <v/>
      </c>
      <c r="D109">
        <v>0</v>
      </c>
      <c r="E109">
        <f>E108+D109-C109</f>
      </c>
      <c r="F109">
        <f>IF(E109&lt;=0,"⚠ SOLDE ÉPUISÉ — faire verser 500 €","")</f>
      </c>
      <c r="G109" t="str">
        <v>Non</v>
      </c>
      <c r="H109">
        <f>IF(C109&gt;500,"⚠ Facture &gt; 500 € — à relancer","")</f>
      </c>
      <c r="I109">
        <f>SUM($C$2:$C$120)-SUMIF($G$2:$G$120,"Oui",$C$2:$C$120)</f>
      </c>
      <c r="J109">
        <f>IF(I109&gt;500,"⚠ ENVOYER MESSAGE PAIEMENT","")</f>
      </c>
      <c r="K109" t="str">
        <v>Non</v>
      </c>
      <c r="L109" t="str">
        <v/>
      </c>
    </row>
    <row r="110">
      <c r="A110" t="str">
        <v/>
      </c>
      <c r="B110" t="str">
        <v/>
      </c>
      <c r="C110" t="str">
        <v/>
      </c>
      <c r="D110">
        <v>0</v>
      </c>
      <c r="E110">
        <f>E109+D110-C110</f>
      </c>
      <c r="F110">
        <f>IF(E110&lt;=0,"⚠ SOLDE ÉPUISÉ — faire verser 500 €","")</f>
      </c>
      <c r="G110" t="str">
        <v>Non</v>
      </c>
      <c r="H110">
        <f>IF(C110&gt;500,"⚠ Facture &gt; 500 € — à relancer","")</f>
      </c>
      <c r="I110">
        <f>SUM($C$2:$C$120)-SUMIF($G$2:$G$120,"Oui",$C$2:$C$120)</f>
      </c>
      <c r="J110">
        <f>IF(I110&gt;500,"⚠ ENVOYER MESSAGE PAIEMENT","")</f>
      </c>
      <c r="K110" t="str">
        <v>Non</v>
      </c>
      <c r="L110" t="str">
        <v/>
      </c>
    </row>
    <row r="111">
      <c r="A111" t="str">
        <v/>
      </c>
      <c r="B111" t="str">
        <v/>
      </c>
      <c r="C111" t="str">
        <v/>
      </c>
      <c r="D111">
        <v>0</v>
      </c>
      <c r="E111">
        <f>E110+D111-C111</f>
      </c>
      <c r="F111">
        <f>IF(E111&lt;=0,"⚠ SOLDE ÉPUISÉ — faire verser 500 €","")</f>
      </c>
      <c r="G111" t="str">
        <v>Non</v>
      </c>
      <c r="H111">
        <f>IF(C111&gt;500,"⚠ Facture &gt; 500 € — à relancer","")</f>
      </c>
      <c r="I111">
        <f>SUM($C$2:$C$120)-SUMIF($G$2:$G$120,"Oui",$C$2:$C$120)</f>
      </c>
      <c r="J111">
        <f>IF(I111&gt;500,"⚠ ENVOYER MESSAGE PAIEMENT","")</f>
      </c>
      <c r="K111" t="str">
        <v>Non</v>
      </c>
      <c r="L111" t="str">
        <v/>
      </c>
    </row>
    <row r="112">
      <c r="A112" t="str">
        <v/>
      </c>
      <c r="B112" t="str">
        <v/>
      </c>
      <c r="C112" t="str">
        <v/>
      </c>
      <c r="D112">
        <v>0</v>
      </c>
      <c r="E112">
        <f>E111+D112-C112</f>
      </c>
      <c r="F112">
        <f>IF(E112&lt;=0,"⚠ SOLDE ÉPUISÉ — faire verser 500 €","")</f>
      </c>
      <c r="G112" t="str">
        <v>Non</v>
      </c>
      <c r="H112">
        <f>IF(C112&gt;500,"⚠ Facture &gt; 500 € — à relancer","")</f>
      </c>
      <c r="I112">
        <f>SUM($C$2:$C$120)-SUMIF($G$2:$G$120,"Oui",$C$2:$C$120)</f>
      </c>
      <c r="J112">
        <f>IF(I112&gt;500,"⚠ ENVOYER MESSAGE PAIEMENT","")</f>
      </c>
      <c r="K112" t="str">
        <v>Non</v>
      </c>
      <c r="L112" t="str">
        <v/>
      </c>
    </row>
    <row r="113">
      <c r="A113" t="str">
        <v/>
      </c>
      <c r="B113" t="str">
        <v/>
      </c>
      <c r="C113" t="str">
        <v/>
      </c>
      <c r="D113">
        <v>0</v>
      </c>
      <c r="E113">
        <f>E112+D113-C113</f>
      </c>
      <c r="F113">
        <f>IF(E113&lt;=0,"⚠ SOLDE ÉPUISÉ — faire verser 500 €","")</f>
      </c>
      <c r="G113" t="str">
        <v>Non</v>
      </c>
      <c r="H113">
        <f>IF(C113&gt;500,"⚠ Facture &gt; 500 € — à relancer","")</f>
      </c>
      <c r="I113">
        <f>SUM($C$2:$C$120)-SUMIF($G$2:$G$120,"Oui",$C$2:$C$120)</f>
      </c>
      <c r="J113">
        <f>IF(I113&gt;500,"⚠ ENVOYER MESSAGE PAIEMENT","")</f>
      </c>
      <c r="K113" t="str">
        <v>Non</v>
      </c>
      <c r="L113" t="str">
        <v/>
      </c>
    </row>
    <row r="114">
      <c r="A114" t="str">
        <v/>
      </c>
      <c r="B114" t="str">
        <v/>
      </c>
      <c r="C114" t="str">
        <v/>
      </c>
      <c r="D114">
        <v>0</v>
      </c>
      <c r="E114">
        <f>E113+D114-C114</f>
      </c>
      <c r="F114">
        <f>IF(E114&lt;=0,"⚠ SOLDE ÉPUISÉ — faire verser 500 €","")</f>
      </c>
      <c r="G114" t="str">
        <v>Non</v>
      </c>
      <c r="H114">
        <f>IF(C114&gt;500,"⚠ Facture &gt; 500 € — à relancer","")</f>
      </c>
      <c r="I114">
        <f>SUM($C$2:$C$120)-SUMIF($G$2:$G$120,"Oui",$C$2:$C$120)</f>
      </c>
      <c r="J114">
        <f>IF(I114&gt;500,"⚠ ENVOYER MESSAGE PAIEMENT","")</f>
      </c>
      <c r="K114" t="str">
        <v>Non</v>
      </c>
      <c r="L114" t="str">
        <v/>
      </c>
    </row>
    <row r="115">
      <c r="A115" t="str">
        <v/>
      </c>
      <c r="B115" t="str">
        <v/>
      </c>
      <c r="C115" t="str">
        <v/>
      </c>
      <c r="D115">
        <v>0</v>
      </c>
      <c r="E115">
        <f>E114+D115-C115</f>
      </c>
      <c r="F115">
        <f>IF(E115&lt;=0,"⚠ SOLDE ÉPUISÉ — faire verser 500 €","")</f>
      </c>
      <c r="G115" t="str">
        <v>Non</v>
      </c>
      <c r="H115">
        <f>IF(C115&gt;500,"⚠ Facture &gt; 500 € — à relancer","")</f>
      </c>
      <c r="I115">
        <f>SUM($C$2:$C$120)-SUMIF($G$2:$G$120,"Oui",$C$2:$C$120)</f>
      </c>
      <c r="J115">
        <f>IF(I115&gt;500,"⚠ ENVOYER MESSAGE PAIEMENT","")</f>
      </c>
      <c r="K115" t="str">
        <v>Non</v>
      </c>
      <c r="L115" t="str">
        <v/>
      </c>
    </row>
    <row r="116">
      <c r="A116" t="str">
        <v/>
      </c>
      <c r="B116" t="str">
        <v/>
      </c>
      <c r="C116" t="str">
        <v/>
      </c>
      <c r="D116">
        <v>0</v>
      </c>
      <c r="E116">
        <f>E115+D116-C116</f>
      </c>
      <c r="F116">
        <f>IF(E116&lt;=0,"⚠ SOLDE ÉPUISÉ — faire verser 500 €","")</f>
      </c>
      <c r="G116" t="str">
        <v>Non</v>
      </c>
      <c r="H116">
        <f>IF(C116&gt;500,"⚠ Facture &gt; 500 € — à relancer","")</f>
      </c>
      <c r="I116">
        <f>SUM($C$2:$C$120)-SUMIF($G$2:$G$120,"Oui",$C$2:$C$120)</f>
      </c>
      <c r="J116">
        <f>IF(I116&gt;500,"⚠ ENVOYER MESSAGE PAIEMENT","")</f>
      </c>
      <c r="K116" t="str">
        <v>Non</v>
      </c>
      <c r="L116" t="str">
        <v/>
      </c>
    </row>
    <row r="117">
      <c r="A117" t="str">
        <v/>
      </c>
      <c r="B117" t="str">
        <v/>
      </c>
      <c r="C117" t="str">
        <v/>
      </c>
      <c r="D117">
        <v>0</v>
      </c>
      <c r="E117">
        <f>E116+D117-C117</f>
      </c>
      <c r="F117">
        <f>IF(E117&lt;=0,"⚠ SOLDE ÉPUISÉ — faire verser 500 €","")</f>
      </c>
      <c r="G117" t="str">
        <v>Non</v>
      </c>
      <c r="H117">
        <f>IF(C117&gt;500,"⚠ Facture &gt; 500 € — à relancer","")</f>
      </c>
      <c r="I117">
        <f>SUM($C$2:$C$120)-SUMIF($G$2:$G$120,"Oui",$C$2:$C$120)</f>
      </c>
      <c r="J117">
        <f>IF(I117&gt;500,"⚠ ENVOYER MESSAGE PAIEMENT","")</f>
      </c>
      <c r="K117" t="str">
        <v>Non</v>
      </c>
      <c r="L117" t="str">
        <v/>
      </c>
    </row>
    <row r="118">
      <c r="A118" t="str">
        <v/>
      </c>
      <c r="B118" t="str">
        <v/>
      </c>
      <c r="C118" t="str">
        <v/>
      </c>
      <c r="D118">
        <v>0</v>
      </c>
      <c r="E118">
        <f>E117+D118-C118</f>
      </c>
      <c r="F118">
        <f>IF(E118&lt;=0,"⚠ SOLDE ÉPUISÉ — faire verser 500 €","")</f>
      </c>
      <c r="G118" t="str">
        <v>Non</v>
      </c>
      <c r="H118">
        <f>IF(C118&gt;500,"⚠ Facture &gt; 500 € — à relancer","")</f>
      </c>
      <c r="I118">
        <f>SUM($C$2:$C$120)-SUMIF($G$2:$G$120,"Oui",$C$2:$C$120)</f>
      </c>
      <c r="J118">
        <f>IF(I118&gt;500,"⚠ ENVOYER MESSAGE PAIEMENT","")</f>
      </c>
      <c r="K118" t="str">
        <v>Non</v>
      </c>
      <c r="L118" t="str">
        <v/>
      </c>
    </row>
    <row r="119">
      <c r="A119" t="str">
        <v/>
      </c>
      <c r="B119" t="str">
        <v/>
      </c>
      <c r="C119" t="str">
        <v/>
      </c>
      <c r="D119">
        <v>0</v>
      </c>
      <c r="E119">
        <f>E118+D119-C119</f>
      </c>
      <c r="F119">
        <f>IF(E119&lt;=0,"⚠ SOLDE ÉPUISÉ — faire verser 500 €","")</f>
      </c>
      <c r="G119" t="str">
        <v>Non</v>
      </c>
      <c r="H119">
        <f>IF(C119&gt;500,"⚠ Facture &gt; 500 € — à relancer","")</f>
      </c>
      <c r="I119">
        <f>SUM($C$2:$C$120)-SUMIF($G$2:$G$120,"Oui",$C$2:$C$120)</f>
      </c>
      <c r="J119">
        <f>IF(I119&gt;500,"⚠ ENVOYER MESSAGE PAIEMENT","")</f>
      </c>
      <c r="K119" t="str">
        <v>Non</v>
      </c>
      <c r="L119" t="str">
        <v/>
      </c>
    </row>
    <row r="120">
      <c r="A120" t="str">
        <v/>
      </c>
      <c r="B120" t="str">
        <v/>
      </c>
      <c r="C120" t="str">
        <v/>
      </c>
      <c r="D120">
        <v>0</v>
      </c>
      <c r="E120">
        <f>E119+D120-C120</f>
      </c>
      <c r="F120">
        <f>IF(E120&lt;=0,"⚠ SOLDE ÉPUISÉ — faire verser 500 €","")</f>
      </c>
      <c r="G120" t="str">
        <v>Non</v>
      </c>
      <c r="H120">
        <f>IF(C120&gt;500,"⚠ Facture &gt; 500 € — à relancer","")</f>
      </c>
      <c r="I120">
        <f>SUM($C$2:$C$120)-SUMIF($G$2:$G$120,"Oui",$C$2:$C$120)</f>
      </c>
      <c r="J120">
        <f>IF(I120&gt;500,"⚠ ENVOYER MESSAGE PAIEMENT","")</f>
      </c>
      <c r="K120" t="str">
        <v>Non</v>
      </c>
      <c r="L120" t="str">
        <v/>
      </c>
    </row>
  </sheetData>
  <ignoredErrors>
    <ignoredError numberStoredAsText="1" sqref="A1:L12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sheetData>
    <row r="1">
      <c r="A1" t="str">
        <v>Restaurant</v>
      </c>
      <c r="B1" t="str">
        <v>Solde crédit actuel (€)</v>
      </c>
      <c r="C1" t="str">
        <v>Alerte solde</v>
      </c>
      <c r="D1" t="str">
        <v>Encours impayé (€)</v>
      </c>
      <c r="E1" t="str">
        <v>Alerte encours</v>
      </c>
    </row>
    <row r="2">
      <c r="A2" t="str">
        <v>My French factory</v>
      </c>
      <c r="B2">
        <f>'My French factory'!E13</f>
      </c>
      <c r="C2">
        <f>IF(B2&lt;=0,"⚠ RECHARGER 500 €","OK")</f>
      </c>
      <c r="D2">
        <f>SUM('My French factory'!$C$2:$C$120)-SUMIF('My French factory'!$G$2:$G$120,"Oui",'My French factory'!$C$2:$C$120)</f>
      </c>
      <c r="E2">
        <f>IF(D2&gt;500,"⚠ RELANCER","OK")</f>
      </c>
    </row>
    <row r="3">
      <c r="A3" t="str">
        <v>My french Cantine</v>
      </c>
      <c r="B3">
        <f>'My french Cantine'!E13</f>
      </c>
      <c r="C3">
        <f>IF(B3&lt;=0,"⚠ RECHARGER 500 €","OK")</f>
      </c>
      <c r="D3">
        <f>SUM('My french Cantine'!$C$2:$C$120)-SUMIF('My french Cantine'!$G$2:$G$120,"Oui",'My french Cantine'!$C$2:$C$120)</f>
      </c>
      <c r="E3">
        <f>IF(D3&gt;500,"⚠ RELANCER","OK")</f>
      </c>
    </row>
  </sheetData>
  <ignoredErrors>
    <ignoredError numberStoredAsText="1" sqref="A1:E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Data>
    <row r="1">
      <c r="A1" t="str">
        <v>1. Un onglet par restaurant (My French factory · My french Cantine).</v>
      </c>
    </row>
    <row r="2">
      <c r="A2" t="str">
        <v>2. Colonne C : montant facture → le solde (E) se recalcule automatiquement.</v>
      </c>
    </row>
    <row r="3">
      <c r="A3" t="str">
        <v>3. Colonne D : versement client (500 €).</v>
      </c>
    </row>
    <row r="4">
      <c r="A4" t="str">
        <v>4. Ouvrez ce fichier .xlsx avec Microsoft Excel (recommandé).</v>
      </c>
    </row>
    <row r="5">
      <c r="A5" t="str">
        <v>5. Après saisie en C, appuyez sur Entrée si le solde ne bouge pas.</v>
      </c>
    </row>
  </sheetData>
  <ignoredErrors>
    <ignoredError numberStoredAsText="1" sqref="A1:A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My French factory</vt:lpstr>
      <vt:lpstr>My french Cantine</vt:lpstr>
      <vt:lpstr>Synthèse</vt:lpstr>
      <vt:lpstr>Mode emploi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