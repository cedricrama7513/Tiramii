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y French factory" sheetId="1" r:id="rId1"/>
    <sheet name="My french Cantine" sheetId="2" r:id="rId2"/>
    <sheet name="Synthèse" sheetId="3" r:id="rId3"/>
    <sheet name="Mode emploi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20"/>
  <sheetViews>
    <sheetView workbookViewId="0"/>
  </sheetViews>
  <cols>
    <col min="1" max="1" width="12.83203125" customWidth="1"/>
    <col min="2" max="2" width="18.83203125" customWidth="1"/>
    <col min="3" max="3" width="11.83203125" customWidth="1"/>
    <col min="4" max="4" width="14.83203125" customWidth="1"/>
    <col min="5" max="5" width="12.83203125" customWidth="1"/>
    <col min="6" max="6" width="28.83203125" customWidth="1"/>
    <col min="7" max="7" width="10.83203125" customWidth="1"/>
    <col min="8" max="8" width="26.83203125" customWidth="1"/>
    <col min="9" max="9" width="14.83203125" customWidth="1"/>
    <col min="10" max="10" width="26.83203125" customWidth="1"/>
    <col min="11" max="11" width="14.83203125" customWidth="1"/>
    <col min="12" max="12" width="12.83203125" customWidth="1"/>
  </cols>
  <sheetData>
    <row r="1">
      <c r="A1" t="str">
        <v>Date facture</v>
      </c>
      <c r="B1" t="str">
        <v>N° facture</v>
      </c>
      <c r="C1" t="str">
        <v>Montant facture (€)</v>
      </c>
      <c r="D1" t="str">
        <v>Versement (€)</v>
      </c>
      <c r="E1" t="str">
        <v>Solde (€)</v>
      </c>
      <c r="F1" t="str">
        <v>Alerte solde</v>
      </c>
      <c r="G1" t="str">
        <v>Payé ? (Oui / Non)</v>
      </c>
      <c r="H1" t="str">
        <v>Alerte facture &gt; 500 €</v>
      </c>
      <c r="I1" t="str">
        <v>Encours impayé (€)</v>
      </c>
      <c r="J1" t="str">
        <v>Alerte encours</v>
      </c>
      <c r="K1" t="str">
        <v>Message envoyé ?</v>
      </c>
      <c r="L1" t="str">
        <v>Date relance</v>
      </c>
    </row>
    <row r="2">
      <c r="A2" t="str">
        <v>2026-01-01</v>
      </c>
      <c r="B2" t="str">
        <v>FAC-MYFRENCH-2026-01</v>
      </c>
      <c r="C2">
        <v>0</v>
      </c>
      <c r="D2">
        <v>500</v>
      </c>
      <c r="E2">
        <f>=SUM($D$2:D2)-SUM($C$2:C2)</f>
        <v>0</v>
      </c>
      <c r="F2">
        <f>=IF(E2&lt;=0,"⚠ SOLDE ÉPUISÉ — faire verser 500 €","")</f>
      </c>
      <c r="G2" t="str">
        <v>Non</v>
      </c>
      <c r="H2">
        <f>=IF(C2&gt;500,"⚠ Facture &gt; 500 € — à relancer","")</f>
      </c>
      <c r="I2">
        <f>=SUM($C$2:$C$120)-SUMIF($G$2:$G$120,"Oui",$C$2:$C$120)</f>
        <v>0</v>
      </c>
      <c r="J2">
        <f>=IF(I2&gt;500,"⚠ ENVOYER MESSAGE PAIEMENT","")</f>
      </c>
      <c r="K2" t="str">
        <v>Non</v>
      </c>
      <c r="L2" t="str">
        <v/>
      </c>
    </row>
    <row r="3">
      <c r="A3" t="str">
        <v>2026-02-01</v>
      </c>
      <c r="B3" t="str">
        <v>FAC-MYFRENCH-2026-02</v>
      </c>
      <c r="C3">
        <v>0</v>
      </c>
      <c r="D3">
        <v>0</v>
      </c>
      <c r="E3">
        <f>=SUM($D$2:D3)-SUM($C$2:C3)</f>
        <v>500</v>
      </c>
      <c r="F3">
        <f>=IF(E3&lt;=0,"⚠ SOLDE ÉPUISÉ — faire verser 500 €","")</f>
      </c>
      <c r="G3" t="str">
        <v>Non</v>
      </c>
      <c r="H3">
        <f>=IF(C3&gt;500,"⚠ Facture &gt; 500 € — à relancer","")</f>
      </c>
      <c r="I3">
        <f>=SUM($C$2:$C$120)-SUMIF($G$2:$G$120,"Oui",$C$2:$C$120)</f>
        <v>0</v>
      </c>
      <c r="J3">
        <f>=IF(I3&gt;500,"⚠ ENVOYER MESSAGE PAIEMENT","")</f>
      </c>
      <c r="K3" t="str">
        <v>Non</v>
      </c>
      <c r="L3" t="str">
        <v/>
      </c>
    </row>
    <row r="4">
      <c r="A4" t="str">
        <v>2026-03-01</v>
      </c>
      <c r="B4" t="str">
        <v>FAC-MYFRENCH-2026-03</v>
      </c>
      <c r="C4">
        <v>0</v>
      </c>
      <c r="D4">
        <v>0</v>
      </c>
      <c r="E4">
        <f>=SUM($D$2:D4)-SUM($C$2:C4)</f>
        <v>500</v>
      </c>
      <c r="F4">
        <f>=IF(E4&lt;=0,"⚠ SOLDE ÉPUISÉ — faire verser 500 €","")</f>
      </c>
      <c r="G4" t="str">
        <v>Non</v>
      </c>
      <c r="H4">
        <f>=IF(C4&gt;500,"⚠ Facture &gt; 500 € — à relancer","")</f>
      </c>
      <c r="I4">
        <f>=SUM($C$2:$C$120)-SUMIF($G$2:$G$120,"Oui",$C$2:$C$120)</f>
        <v>0</v>
      </c>
      <c r="J4">
        <f>=IF(I4&gt;500,"⚠ ENVOYER MESSAGE PAIEMENT","")</f>
      </c>
      <c r="K4" t="str">
        <v>Non</v>
      </c>
      <c r="L4" t="str">
        <v/>
      </c>
    </row>
    <row r="5">
      <c r="A5" t="str">
        <v>2026-04-01</v>
      </c>
      <c r="B5" t="str">
        <v>FAC-MYFRENCH-2026-04</v>
      </c>
      <c r="C5">
        <v>0</v>
      </c>
      <c r="D5">
        <v>0</v>
      </c>
      <c r="E5">
        <f>=SUM($D$2:D5)-SUM($C$2:C5)</f>
        <v>500</v>
      </c>
      <c r="F5">
        <f>=IF(E5&lt;=0,"⚠ SOLDE ÉPUISÉ — faire verser 500 €","")</f>
      </c>
      <c r="G5" t="str">
        <v>Non</v>
      </c>
      <c r="H5">
        <f>=IF(C5&gt;500,"⚠ Facture &gt; 500 € — à relancer","")</f>
      </c>
      <c r="I5">
        <f>=SUM($C$2:$C$120)-SUMIF($G$2:$G$120,"Oui",$C$2:$C$120)</f>
        <v>0</v>
      </c>
      <c r="J5">
        <f>=IF(I5&gt;500,"⚠ ENVOYER MESSAGE PAIEMENT","")</f>
      </c>
      <c r="K5" t="str">
        <v>Non</v>
      </c>
      <c r="L5" t="str">
        <v/>
      </c>
    </row>
    <row r="6">
      <c r="A6" t="str">
        <v>2026-05-01</v>
      </c>
      <c r="B6" t="str">
        <v>FAC-MYFRENCH-2026-05</v>
      </c>
      <c r="C6">
        <v>0</v>
      </c>
      <c r="D6">
        <v>0</v>
      </c>
      <c r="E6">
        <f>=SUM($D$2:D6)-SUM($C$2:C6)</f>
        <v>500</v>
      </c>
      <c r="F6">
        <f>=IF(E6&lt;=0,"⚠ SOLDE ÉPUISÉ — faire verser 500 €","")</f>
      </c>
      <c r="G6" t="str">
        <v>Non</v>
      </c>
      <c r="H6">
        <f>=IF(C6&gt;500,"⚠ Facture &gt; 500 € — à relancer","")</f>
      </c>
      <c r="I6">
        <f>=SUM($C$2:$C$120)-SUMIF($G$2:$G$120,"Oui",$C$2:$C$120)</f>
        <v>0</v>
      </c>
      <c r="J6">
        <f>=IF(I6&gt;500,"⚠ ENVOYER MESSAGE PAIEMENT","")</f>
      </c>
      <c r="K6" t="str">
        <v>Non</v>
      </c>
      <c r="L6" t="str">
        <v/>
      </c>
    </row>
    <row r="7">
      <c r="A7" t="str">
        <v>2026-06-01</v>
      </c>
      <c r="B7" t="str">
        <v>FAC-MYFRENCH-2026-06</v>
      </c>
      <c r="C7">
        <v>0</v>
      </c>
      <c r="D7">
        <v>0</v>
      </c>
      <c r="E7">
        <f>=SUM($D$2:D7)-SUM($C$2:C7)</f>
        <v>500</v>
      </c>
      <c r="F7">
        <f>=IF(E7&lt;=0,"⚠ SOLDE ÉPUISÉ — faire verser 500 €","")</f>
      </c>
      <c r="G7" t="str">
        <v>Non</v>
      </c>
      <c r="H7">
        <f>=IF(C7&gt;500,"⚠ Facture &gt; 500 € — à relancer","")</f>
      </c>
      <c r="I7">
        <f>=SUM($C$2:$C$120)-SUMIF($G$2:$G$120,"Oui",$C$2:$C$120)</f>
        <v>0</v>
      </c>
      <c r="J7">
        <f>=IF(I7&gt;500,"⚠ ENVOYER MESSAGE PAIEMENT","")</f>
      </c>
      <c r="K7" t="str">
        <v>Non</v>
      </c>
      <c r="L7" t="str">
        <v/>
      </c>
    </row>
    <row r="8">
      <c r="A8" t="str">
        <v>2026-07-01</v>
      </c>
      <c r="B8" t="str">
        <v>FAC-MYFRENCH-2026-07</v>
      </c>
      <c r="C8">
        <v>0</v>
      </c>
      <c r="D8">
        <v>0</v>
      </c>
      <c r="E8">
        <f>=SUM($D$2:D8)-SUM($C$2:C8)</f>
        <v>500</v>
      </c>
      <c r="F8">
        <f>=IF(E8&lt;=0,"⚠ SOLDE ÉPUISÉ — faire verser 500 €","")</f>
      </c>
      <c r="G8" t="str">
        <v>Non</v>
      </c>
      <c r="H8">
        <f>=IF(C8&gt;500,"⚠ Facture &gt; 500 € — à relancer","")</f>
      </c>
      <c r="I8">
        <f>=SUM($C$2:$C$120)-SUMIF($G$2:$G$120,"Oui",$C$2:$C$120)</f>
        <v>0</v>
      </c>
      <c r="J8">
        <f>=IF(I8&gt;500,"⚠ ENVOYER MESSAGE PAIEMENT","")</f>
      </c>
      <c r="K8" t="str">
        <v>Non</v>
      </c>
      <c r="L8" t="str">
        <v/>
      </c>
    </row>
    <row r="9">
      <c r="A9" t="str">
        <v>2026-08-01</v>
      </c>
      <c r="B9" t="str">
        <v>FAC-MYFRENCH-2026-08</v>
      </c>
      <c r="C9">
        <v>0</v>
      </c>
      <c r="D9">
        <v>0</v>
      </c>
      <c r="E9">
        <f>=SUM($D$2:D9)-SUM($C$2:C9)</f>
        <v>500</v>
      </c>
      <c r="F9">
        <f>=IF(E9&lt;=0,"⚠ SOLDE ÉPUISÉ — faire verser 500 €","")</f>
      </c>
      <c r="G9" t="str">
        <v>Non</v>
      </c>
      <c r="H9">
        <f>=IF(C9&gt;500,"⚠ Facture &gt; 500 € — à relancer","")</f>
      </c>
      <c r="I9">
        <f>=SUM($C$2:$C$120)-SUMIF($G$2:$G$120,"Oui",$C$2:$C$120)</f>
        <v>0</v>
      </c>
      <c r="J9">
        <f>=IF(I9&gt;500,"⚠ ENVOYER MESSAGE PAIEMENT","")</f>
      </c>
      <c r="K9" t="str">
        <v>Non</v>
      </c>
      <c r="L9" t="str">
        <v/>
      </c>
    </row>
    <row r="10">
      <c r="A10" t="str">
        <v>2026-09-01</v>
      </c>
      <c r="B10" t="str">
        <v>FAC-MYFRENCH-2026-09</v>
      </c>
      <c r="C10">
        <v>0</v>
      </c>
      <c r="D10">
        <v>0</v>
      </c>
      <c r="E10">
        <f>=SUM($D$2:D10)-SUM($C$2:C10)</f>
        <v>500</v>
      </c>
      <c r="F10">
        <f>=IF(E10&lt;=0,"⚠ SOLDE ÉPUISÉ — faire verser 500 €","")</f>
      </c>
      <c r="G10" t="str">
        <v>Non</v>
      </c>
      <c r="H10">
        <f>=IF(C10&gt;500,"⚠ Facture &gt; 500 € — à relancer","")</f>
      </c>
      <c r="I10">
        <f>=SUM($C$2:$C$120)-SUMIF($G$2:$G$120,"Oui",$C$2:$C$120)</f>
        <v>0</v>
      </c>
      <c r="J10">
        <f>=IF(I10&gt;500,"⚠ ENVOYER MESSAGE PAIEMENT","")</f>
      </c>
      <c r="K10" t="str">
        <v>Non</v>
      </c>
      <c r="L10" t="str">
        <v/>
      </c>
    </row>
    <row r="11">
      <c r="A11" t="str">
        <v>2026-10-01</v>
      </c>
      <c r="B11" t="str">
        <v>FAC-MYFRENCH-2026-10</v>
      </c>
      <c r="C11">
        <v>0</v>
      </c>
      <c r="D11">
        <v>0</v>
      </c>
      <c r="E11">
        <f>=SUM($D$2:D11)-SUM($C$2:C11)</f>
        <v>500</v>
      </c>
      <c r="F11">
        <f>=IF(E11&lt;=0,"⚠ SOLDE ÉPUISÉ — faire verser 500 €","")</f>
      </c>
      <c r="G11" t="str">
        <v>Non</v>
      </c>
      <c r="H11">
        <f>=IF(C11&gt;500,"⚠ Facture &gt; 500 € — à relancer","")</f>
      </c>
      <c r="I11">
        <f>=SUM($C$2:$C$120)-SUMIF($G$2:$G$120,"Oui",$C$2:$C$120)</f>
        <v>0</v>
      </c>
      <c r="J11">
        <f>=IF(I11&gt;500,"⚠ ENVOYER MESSAGE PAIEMENT","")</f>
      </c>
      <c r="K11" t="str">
        <v>Non</v>
      </c>
      <c r="L11" t="str">
        <v/>
      </c>
    </row>
    <row r="12">
      <c r="A12" t="str">
        <v>2026-11-01</v>
      </c>
      <c r="B12" t="str">
        <v>FAC-MYFRENCH-2026-11</v>
      </c>
      <c r="C12">
        <v>0</v>
      </c>
      <c r="D12">
        <v>0</v>
      </c>
      <c r="E12">
        <f>=SUM($D$2:D12)-SUM($C$2:C12)</f>
        <v>500</v>
      </c>
      <c r="F12">
        <f>=IF(E12&lt;=0,"⚠ SOLDE ÉPUISÉ — faire verser 500 €","")</f>
      </c>
      <c r="G12" t="str">
        <v>Non</v>
      </c>
      <c r="H12">
        <f>=IF(C12&gt;500,"⚠ Facture &gt; 500 € — à relancer","")</f>
      </c>
      <c r="I12">
        <f>=SUM($C$2:$C$120)-SUMIF($G$2:$G$120,"Oui",$C$2:$C$120)</f>
        <v>0</v>
      </c>
      <c r="J12">
        <f>=IF(I12&gt;500,"⚠ ENVOYER MESSAGE PAIEMENT","")</f>
      </c>
      <c r="K12" t="str">
        <v>Non</v>
      </c>
      <c r="L12" t="str">
        <v/>
      </c>
    </row>
    <row r="13">
      <c r="A13" t="str">
        <v>2026-12-01</v>
      </c>
      <c r="B13" t="str">
        <v>FAC-MYFRENCH-2026-12</v>
      </c>
      <c r="C13">
        <v>0</v>
      </c>
      <c r="D13">
        <v>0</v>
      </c>
      <c r="E13">
        <f>=SUM($D$2:D13)-SUM($C$2:C13)</f>
        <v>500</v>
      </c>
      <c r="F13">
        <f>=IF(E13&lt;=0,"⚠ SOLDE ÉPUISÉ — faire verser 500 €","")</f>
      </c>
      <c r="G13" t="str">
        <v>Non</v>
      </c>
      <c r="H13">
        <f>=IF(C13&gt;500,"⚠ Facture &gt; 500 € — à relancer","")</f>
      </c>
      <c r="I13">
        <f>=SUM($C$2:$C$120)-SUMIF($G$2:$G$120,"Oui",$C$2:$C$120)</f>
        <v>0</v>
      </c>
      <c r="J13">
        <f>=IF(I13&gt;500,"⚠ ENVOYER MESSAGE PAIEMENT","")</f>
      </c>
      <c r="K13" t="str">
        <v>Non</v>
      </c>
      <c r="L13" t="str">
        <v/>
      </c>
    </row>
    <row r="14">
      <c r="A14" t="str">
        <v/>
      </c>
      <c r="B14" t="str">
        <v/>
      </c>
      <c r="C14">
        <v>0</v>
      </c>
      <c r="D14">
        <v>0</v>
      </c>
      <c r="E14">
        <f>=SUM($D$2:D14)-SUM($C$2:C14)</f>
        <v>500</v>
      </c>
      <c r="F14">
        <f>=IF(E14&lt;=0,"⚠ SOLDE ÉPUISÉ — faire verser 500 €","")</f>
      </c>
      <c r="G14" t="str">
        <v>Non</v>
      </c>
      <c r="H14">
        <f>=IF(C14&gt;500,"⚠ Facture &gt; 500 € — à relancer","")</f>
      </c>
      <c r="I14">
        <f>=SUM($C$2:$C$120)-SUMIF($G$2:$G$120,"Oui",$C$2:$C$120)</f>
        <v>0</v>
      </c>
      <c r="J14">
        <f>=IF(I14&gt;500,"⚠ ENVOYER MESSAGE PAIEMENT","")</f>
      </c>
      <c r="K14" t="str">
        <v>Non</v>
      </c>
      <c r="L14" t="str">
        <v/>
      </c>
    </row>
    <row r="15">
      <c r="A15" t="str">
        <v/>
      </c>
      <c r="B15" t="str">
        <v/>
      </c>
      <c r="C15">
        <v>0</v>
      </c>
      <c r="D15">
        <v>0</v>
      </c>
      <c r="E15">
        <f>=SUM($D$2:D15)-SUM($C$2:C15)</f>
        <v>500</v>
      </c>
      <c r="F15">
        <f>=IF(E15&lt;=0,"⚠ SOLDE ÉPUISÉ — faire verser 500 €","")</f>
      </c>
      <c r="G15" t="str">
        <v>Non</v>
      </c>
      <c r="H15">
        <f>=IF(C15&gt;500,"⚠ Facture &gt; 500 € — à relancer","")</f>
      </c>
      <c r="I15">
        <f>=SUM($C$2:$C$120)-SUMIF($G$2:$G$120,"Oui",$C$2:$C$120)</f>
        <v>0</v>
      </c>
      <c r="J15">
        <f>=IF(I15&gt;500,"⚠ ENVOYER MESSAGE PAIEMENT","")</f>
      </c>
      <c r="K15" t="str">
        <v>Non</v>
      </c>
      <c r="L15" t="str">
        <v/>
      </c>
    </row>
    <row r="16">
      <c r="A16" t="str">
        <v/>
      </c>
      <c r="B16" t="str">
        <v/>
      </c>
      <c r="C16">
        <v>0</v>
      </c>
      <c r="D16">
        <v>0</v>
      </c>
      <c r="E16">
        <f>=SUM($D$2:D16)-SUM($C$2:C16)</f>
        <v>500</v>
      </c>
      <c r="F16">
        <f>=IF(E16&lt;=0,"⚠ SOLDE ÉPUISÉ — faire verser 500 €","")</f>
      </c>
      <c r="G16" t="str">
        <v>Non</v>
      </c>
      <c r="H16">
        <f>=IF(C16&gt;500,"⚠ Facture &gt; 500 € — à relancer","")</f>
      </c>
      <c r="I16">
        <f>=SUM($C$2:$C$120)-SUMIF($G$2:$G$120,"Oui",$C$2:$C$120)</f>
        <v>0</v>
      </c>
      <c r="J16">
        <f>=IF(I16&gt;500,"⚠ ENVOYER MESSAGE PAIEMENT","")</f>
      </c>
      <c r="K16" t="str">
        <v>Non</v>
      </c>
      <c r="L16" t="str">
        <v/>
      </c>
    </row>
    <row r="17">
      <c r="A17" t="str">
        <v/>
      </c>
      <c r="B17" t="str">
        <v/>
      </c>
      <c r="C17">
        <v>0</v>
      </c>
      <c r="D17">
        <v>0</v>
      </c>
      <c r="E17">
        <f>=SUM($D$2:D17)-SUM($C$2:C17)</f>
        <v>500</v>
      </c>
      <c r="F17">
        <f>=IF(E17&lt;=0,"⚠ SOLDE ÉPUISÉ — faire verser 500 €","")</f>
      </c>
      <c r="G17" t="str">
        <v>Non</v>
      </c>
      <c r="H17">
        <f>=IF(C17&gt;500,"⚠ Facture &gt; 500 € — à relancer","")</f>
      </c>
      <c r="I17">
        <f>=SUM($C$2:$C$120)-SUMIF($G$2:$G$120,"Oui",$C$2:$C$120)</f>
        <v>0</v>
      </c>
      <c r="J17">
        <f>=IF(I17&gt;500,"⚠ ENVOYER MESSAGE PAIEMENT","")</f>
      </c>
      <c r="K17" t="str">
        <v>Non</v>
      </c>
      <c r="L17" t="str">
        <v/>
      </c>
    </row>
    <row r="18">
      <c r="A18" t="str">
        <v/>
      </c>
      <c r="B18" t="str">
        <v/>
      </c>
      <c r="C18">
        <v>0</v>
      </c>
      <c r="D18">
        <v>0</v>
      </c>
      <c r="E18">
        <f>=SUM($D$2:D18)-SUM($C$2:C18)</f>
        <v>500</v>
      </c>
      <c r="F18">
        <f>=IF(E18&lt;=0,"⚠ SOLDE ÉPUISÉ — faire verser 500 €","")</f>
      </c>
      <c r="G18" t="str">
        <v>Non</v>
      </c>
      <c r="H18">
        <f>=IF(C18&gt;500,"⚠ Facture &gt; 500 € — à relancer","")</f>
      </c>
      <c r="I18">
        <f>=SUM($C$2:$C$120)-SUMIF($G$2:$G$120,"Oui",$C$2:$C$120)</f>
        <v>0</v>
      </c>
      <c r="J18">
        <f>=IF(I18&gt;500,"⚠ ENVOYER MESSAGE PAIEMENT","")</f>
      </c>
      <c r="K18" t="str">
        <v>Non</v>
      </c>
      <c r="L18" t="str">
        <v/>
      </c>
    </row>
    <row r="19">
      <c r="A19" t="str">
        <v/>
      </c>
      <c r="B19" t="str">
        <v/>
      </c>
      <c r="C19">
        <v>0</v>
      </c>
      <c r="D19">
        <v>0</v>
      </c>
      <c r="E19">
        <f>=SUM($D$2:D19)-SUM($C$2:C19)</f>
        <v>500</v>
      </c>
      <c r="F19">
        <f>=IF(E19&lt;=0,"⚠ SOLDE ÉPUISÉ — faire verser 500 €","")</f>
      </c>
      <c r="G19" t="str">
        <v>Non</v>
      </c>
      <c r="H19">
        <f>=IF(C19&gt;500,"⚠ Facture &gt; 500 € — à relancer","")</f>
      </c>
      <c r="I19">
        <f>=SUM($C$2:$C$120)-SUMIF($G$2:$G$120,"Oui",$C$2:$C$120)</f>
        <v>0</v>
      </c>
      <c r="J19">
        <f>=IF(I19&gt;500,"⚠ ENVOYER MESSAGE PAIEMENT","")</f>
      </c>
      <c r="K19" t="str">
        <v>Non</v>
      </c>
      <c r="L19" t="str">
        <v/>
      </c>
    </row>
    <row r="20">
      <c r="A20" t="str">
        <v/>
      </c>
      <c r="B20" t="str">
        <v/>
      </c>
      <c r="C20">
        <v>0</v>
      </c>
      <c r="D20">
        <v>0</v>
      </c>
      <c r="E20">
        <f>=SUM($D$2:D20)-SUM($C$2:C20)</f>
        <v>500</v>
      </c>
      <c r="F20">
        <f>=IF(E20&lt;=0,"⚠ SOLDE ÉPUISÉ — faire verser 500 €","")</f>
      </c>
      <c r="G20" t="str">
        <v>Non</v>
      </c>
      <c r="H20">
        <f>=IF(C20&gt;500,"⚠ Facture &gt; 500 € — à relancer","")</f>
      </c>
      <c r="I20">
        <f>=SUM($C$2:$C$120)-SUMIF($G$2:$G$120,"Oui",$C$2:$C$120)</f>
        <v>0</v>
      </c>
      <c r="J20">
        <f>=IF(I20&gt;500,"⚠ ENVOYER MESSAGE PAIEMENT","")</f>
      </c>
      <c r="K20" t="str">
        <v>Non</v>
      </c>
      <c r="L20" t="str">
        <v/>
      </c>
    </row>
    <row r="21">
      <c r="A21" t="str">
        <v/>
      </c>
      <c r="B21" t="str">
        <v/>
      </c>
      <c r="C21">
        <v>0</v>
      </c>
      <c r="D21">
        <v>0</v>
      </c>
      <c r="E21">
        <f>=SUM($D$2:D21)-SUM($C$2:C21)</f>
        <v>500</v>
      </c>
      <c r="F21">
        <f>=IF(E21&lt;=0,"⚠ SOLDE ÉPUISÉ — faire verser 500 €","")</f>
      </c>
      <c r="G21" t="str">
        <v>Non</v>
      </c>
      <c r="H21">
        <f>=IF(C21&gt;500,"⚠ Facture &gt; 500 € — à relancer","")</f>
      </c>
      <c r="I21">
        <f>=SUM($C$2:$C$120)-SUMIF($G$2:$G$120,"Oui",$C$2:$C$120)</f>
        <v>0</v>
      </c>
      <c r="J21">
        <f>=IF(I21&gt;500,"⚠ ENVOYER MESSAGE PAIEMENT","")</f>
      </c>
      <c r="K21" t="str">
        <v>Non</v>
      </c>
      <c r="L21" t="str">
        <v/>
      </c>
    </row>
    <row r="22">
      <c r="A22" t="str">
        <v/>
      </c>
      <c r="B22" t="str">
        <v/>
      </c>
      <c r="C22">
        <v>0</v>
      </c>
      <c r="D22">
        <v>0</v>
      </c>
      <c r="E22">
        <f>=SUM($D$2:D22)-SUM($C$2:C22)</f>
        <v>500</v>
      </c>
      <c r="F22">
        <f>=IF(E22&lt;=0,"⚠ SOLDE ÉPUISÉ — faire verser 500 €","")</f>
      </c>
      <c r="G22" t="str">
        <v>Non</v>
      </c>
      <c r="H22">
        <f>=IF(C22&gt;500,"⚠ Facture &gt; 500 € — à relancer","")</f>
      </c>
      <c r="I22">
        <f>=SUM($C$2:$C$120)-SUMIF($G$2:$G$120,"Oui",$C$2:$C$120)</f>
        <v>0</v>
      </c>
      <c r="J22">
        <f>=IF(I22&gt;500,"⚠ ENVOYER MESSAGE PAIEMENT","")</f>
      </c>
      <c r="K22" t="str">
        <v>Non</v>
      </c>
      <c r="L22" t="str">
        <v/>
      </c>
    </row>
    <row r="23">
      <c r="A23" t="str">
        <v/>
      </c>
      <c r="B23" t="str">
        <v/>
      </c>
      <c r="C23">
        <v>0</v>
      </c>
      <c r="D23">
        <v>0</v>
      </c>
      <c r="E23">
        <f>=SUM($D$2:D23)-SUM($C$2:C23)</f>
        <v>500</v>
      </c>
      <c r="F23">
        <f>=IF(E23&lt;=0,"⚠ SOLDE ÉPUISÉ — faire verser 500 €","")</f>
      </c>
      <c r="G23" t="str">
        <v>Non</v>
      </c>
      <c r="H23">
        <f>=IF(C23&gt;500,"⚠ Facture &gt; 500 € — à relancer","")</f>
      </c>
      <c r="I23">
        <f>=SUM($C$2:$C$120)-SUMIF($G$2:$G$120,"Oui",$C$2:$C$120)</f>
        <v>0</v>
      </c>
      <c r="J23">
        <f>=IF(I23&gt;500,"⚠ ENVOYER MESSAGE PAIEMENT","")</f>
      </c>
      <c r="K23" t="str">
        <v>Non</v>
      </c>
      <c r="L23" t="str">
        <v/>
      </c>
    </row>
    <row r="24">
      <c r="A24" t="str">
        <v/>
      </c>
      <c r="B24" t="str">
        <v/>
      </c>
      <c r="C24">
        <v>0</v>
      </c>
      <c r="D24">
        <v>0</v>
      </c>
      <c r="E24">
        <f>=SUM($D$2:D24)-SUM($C$2:C24)</f>
        <v>500</v>
      </c>
      <c r="F24">
        <f>=IF(E24&lt;=0,"⚠ SOLDE ÉPUISÉ — faire verser 500 €","")</f>
      </c>
      <c r="G24" t="str">
        <v>Non</v>
      </c>
      <c r="H24">
        <f>=IF(C24&gt;500,"⚠ Facture &gt; 500 € — à relancer","")</f>
      </c>
      <c r="I24">
        <f>=SUM($C$2:$C$120)-SUMIF($G$2:$G$120,"Oui",$C$2:$C$120)</f>
        <v>0</v>
      </c>
      <c r="J24">
        <f>=IF(I24&gt;500,"⚠ ENVOYER MESSAGE PAIEMENT","")</f>
      </c>
      <c r="K24" t="str">
        <v>Non</v>
      </c>
      <c r="L24" t="str">
        <v/>
      </c>
    </row>
    <row r="25">
      <c r="A25" t="str">
        <v/>
      </c>
      <c r="B25" t="str">
        <v/>
      </c>
      <c r="C25">
        <v>0</v>
      </c>
      <c r="D25">
        <v>0</v>
      </c>
      <c r="E25">
        <f>=SUM($D$2:D25)-SUM($C$2:C25)</f>
        <v>500</v>
      </c>
      <c r="F25">
        <f>=IF(E25&lt;=0,"⚠ SOLDE ÉPUISÉ — faire verser 500 €","")</f>
      </c>
      <c r="G25" t="str">
        <v>Non</v>
      </c>
      <c r="H25">
        <f>=IF(C25&gt;500,"⚠ Facture &gt; 500 € — à relancer","")</f>
      </c>
      <c r="I25">
        <f>=SUM($C$2:$C$120)-SUMIF($G$2:$G$120,"Oui",$C$2:$C$120)</f>
        <v>0</v>
      </c>
      <c r="J25">
        <f>=IF(I25&gt;500,"⚠ ENVOYER MESSAGE PAIEMENT","")</f>
      </c>
      <c r="K25" t="str">
        <v>Non</v>
      </c>
      <c r="L25" t="str">
        <v/>
      </c>
    </row>
    <row r="26">
      <c r="A26" t="str">
        <v/>
      </c>
      <c r="B26" t="str">
        <v/>
      </c>
      <c r="C26">
        <v>0</v>
      </c>
      <c r="D26">
        <v>0</v>
      </c>
      <c r="E26">
        <f>=SUM($D$2:D26)-SUM($C$2:C26)</f>
        <v>500</v>
      </c>
      <c r="F26">
        <f>=IF(E26&lt;=0,"⚠ SOLDE ÉPUISÉ — faire verser 500 €","")</f>
      </c>
      <c r="G26" t="str">
        <v>Non</v>
      </c>
      <c r="H26">
        <f>=IF(C26&gt;500,"⚠ Facture &gt; 500 € — à relancer","")</f>
      </c>
      <c r="I26">
        <f>=SUM($C$2:$C$120)-SUMIF($G$2:$G$120,"Oui",$C$2:$C$120)</f>
        <v>0</v>
      </c>
      <c r="J26">
        <f>=IF(I26&gt;500,"⚠ ENVOYER MESSAGE PAIEMENT","")</f>
      </c>
      <c r="K26" t="str">
        <v>Non</v>
      </c>
      <c r="L26" t="str">
        <v/>
      </c>
    </row>
    <row r="27">
      <c r="A27" t="str">
        <v/>
      </c>
      <c r="B27" t="str">
        <v/>
      </c>
      <c r="C27">
        <v>0</v>
      </c>
      <c r="D27">
        <v>0</v>
      </c>
      <c r="E27">
        <f>=SUM($D$2:D27)-SUM($C$2:C27)</f>
        <v>500</v>
      </c>
      <c r="F27">
        <f>=IF(E27&lt;=0,"⚠ SOLDE ÉPUISÉ — faire verser 500 €","")</f>
      </c>
      <c r="G27" t="str">
        <v>Non</v>
      </c>
      <c r="H27">
        <f>=IF(C27&gt;500,"⚠ Facture &gt; 500 € — à relancer","")</f>
      </c>
      <c r="I27">
        <f>=SUM($C$2:$C$120)-SUMIF($G$2:$G$120,"Oui",$C$2:$C$120)</f>
        <v>0</v>
      </c>
      <c r="J27">
        <f>=IF(I27&gt;500,"⚠ ENVOYER MESSAGE PAIEMENT","")</f>
      </c>
      <c r="K27" t="str">
        <v>Non</v>
      </c>
      <c r="L27" t="str">
        <v/>
      </c>
    </row>
    <row r="28">
      <c r="A28" t="str">
        <v/>
      </c>
      <c r="B28" t="str">
        <v/>
      </c>
      <c r="C28">
        <v>0</v>
      </c>
      <c r="D28">
        <v>0</v>
      </c>
      <c r="E28">
        <f>=SUM($D$2:D28)-SUM($C$2:C28)</f>
        <v>500</v>
      </c>
      <c r="F28">
        <f>=IF(E28&lt;=0,"⚠ SOLDE ÉPUISÉ — faire verser 500 €","")</f>
      </c>
      <c r="G28" t="str">
        <v>Non</v>
      </c>
      <c r="H28">
        <f>=IF(C28&gt;500,"⚠ Facture &gt; 500 € — à relancer","")</f>
      </c>
      <c r="I28">
        <f>=SUM($C$2:$C$120)-SUMIF($G$2:$G$120,"Oui",$C$2:$C$120)</f>
        <v>0</v>
      </c>
      <c r="J28">
        <f>=IF(I28&gt;500,"⚠ ENVOYER MESSAGE PAIEMENT","")</f>
      </c>
      <c r="K28" t="str">
        <v>Non</v>
      </c>
      <c r="L28" t="str">
        <v/>
      </c>
    </row>
    <row r="29">
      <c r="A29" t="str">
        <v/>
      </c>
      <c r="B29" t="str">
        <v/>
      </c>
      <c r="C29">
        <v>0</v>
      </c>
      <c r="D29">
        <v>0</v>
      </c>
      <c r="E29">
        <f>=SUM($D$2:D29)-SUM($C$2:C29)</f>
        <v>500</v>
      </c>
      <c r="F29">
        <f>=IF(E29&lt;=0,"⚠ SOLDE ÉPUISÉ — faire verser 500 €","")</f>
      </c>
      <c r="G29" t="str">
        <v>Non</v>
      </c>
      <c r="H29">
        <f>=IF(C29&gt;500,"⚠ Facture &gt; 500 € — à relancer","")</f>
      </c>
      <c r="I29">
        <f>=SUM($C$2:$C$120)-SUMIF($G$2:$G$120,"Oui",$C$2:$C$120)</f>
        <v>0</v>
      </c>
      <c r="J29">
        <f>=IF(I29&gt;500,"⚠ ENVOYER MESSAGE PAIEMENT","")</f>
      </c>
      <c r="K29" t="str">
        <v>Non</v>
      </c>
      <c r="L29" t="str">
        <v/>
      </c>
    </row>
    <row r="30">
      <c r="A30" t="str">
        <v/>
      </c>
      <c r="B30" t="str">
        <v/>
      </c>
      <c r="C30">
        <v>0</v>
      </c>
      <c r="D30">
        <v>0</v>
      </c>
      <c r="E30">
        <f>=SUM($D$2:D30)-SUM($C$2:C30)</f>
        <v>500</v>
      </c>
      <c r="F30">
        <f>=IF(E30&lt;=0,"⚠ SOLDE ÉPUISÉ — faire verser 500 €","")</f>
      </c>
      <c r="G30" t="str">
        <v>Non</v>
      </c>
      <c r="H30">
        <f>=IF(C30&gt;500,"⚠ Facture &gt; 500 € — à relancer","")</f>
      </c>
      <c r="I30">
        <f>=SUM($C$2:$C$120)-SUMIF($G$2:$G$120,"Oui",$C$2:$C$120)</f>
        <v>0</v>
      </c>
      <c r="J30">
        <f>=IF(I30&gt;500,"⚠ ENVOYER MESSAGE PAIEMENT","")</f>
      </c>
      <c r="K30" t="str">
        <v>Non</v>
      </c>
      <c r="L30" t="str">
        <v/>
      </c>
    </row>
    <row r="31">
      <c r="A31" t="str">
        <v/>
      </c>
      <c r="B31" t="str">
        <v/>
      </c>
      <c r="C31">
        <v>0</v>
      </c>
      <c r="D31">
        <v>0</v>
      </c>
      <c r="E31">
        <f>=SUM($D$2:D31)-SUM($C$2:C31)</f>
        <v>500</v>
      </c>
      <c r="F31">
        <f>=IF(E31&lt;=0,"⚠ SOLDE ÉPUISÉ — faire verser 500 €","")</f>
      </c>
      <c r="G31" t="str">
        <v>Non</v>
      </c>
      <c r="H31">
        <f>=IF(C31&gt;500,"⚠ Facture &gt; 500 € — à relancer","")</f>
      </c>
      <c r="I31">
        <f>=SUM($C$2:$C$120)-SUMIF($G$2:$G$120,"Oui",$C$2:$C$120)</f>
        <v>0</v>
      </c>
      <c r="J31">
        <f>=IF(I31&gt;500,"⚠ ENVOYER MESSAGE PAIEMENT","")</f>
      </c>
      <c r="K31" t="str">
        <v>Non</v>
      </c>
      <c r="L31" t="str">
        <v/>
      </c>
    </row>
    <row r="32">
      <c r="A32" t="str">
        <v/>
      </c>
      <c r="B32" t="str">
        <v/>
      </c>
      <c r="C32">
        <v>0</v>
      </c>
      <c r="D32">
        <v>0</v>
      </c>
      <c r="E32">
        <f>=SUM($D$2:D32)-SUM($C$2:C32)</f>
        <v>500</v>
      </c>
      <c r="F32">
        <f>=IF(E32&lt;=0,"⚠ SOLDE ÉPUISÉ — faire verser 500 €","")</f>
      </c>
      <c r="G32" t="str">
        <v>Non</v>
      </c>
      <c r="H32">
        <f>=IF(C32&gt;500,"⚠ Facture &gt; 500 € — à relancer","")</f>
      </c>
      <c r="I32">
        <f>=SUM($C$2:$C$120)-SUMIF($G$2:$G$120,"Oui",$C$2:$C$120)</f>
        <v>0</v>
      </c>
      <c r="J32">
        <f>=IF(I32&gt;500,"⚠ ENVOYER MESSAGE PAIEMENT","")</f>
      </c>
      <c r="K32" t="str">
        <v>Non</v>
      </c>
      <c r="L32" t="str">
        <v/>
      </c>
    </row>
    <row r="33">
      <c r="A33" t="str">
        <v/>
      </c>
      <c r="B33" t="str">
        <v/>
      </c>
      <c r="C33">
        <v>0</v>
      </c>
      <c r="D33">
        <v>0</v>
      </c>
      <c r="E33">
        <f>=SUM($D$2:D33)-SUM($C$2:C33)</f>
        <v>500</v>
      </c>
      <c r="F33">
        <f>=IF(E33&lt;=0,"⚠ SOLDE ÉPUISÉ — faire verser 500 €","")</f>
      </c>
      <c r="G33" t="str">
        <v>Non</v>
      </c>
      <c r="H33">
        <f>=IF(C33&gt;500,"⚠ Facture &gt; 500 € — à relancer","")</f>
      </c>
      <c r="I33">
        <f>=SUM($C$2:$C$120)-SUMIF($G$2:$G$120,"Oui",$C$2:$C$120)</f>
        <v>0</v>
      </c>
      <c r="J33">
        <f>=IF(I33&gt;500,"⚠ ENVOYER MESSAGE PAIEMENT","")</f>
      </c>
      <c r="K33" t="str">
        <v>Non</v>
      </c>
      <c r="L33" t="str">
        <v/>
      </c>
    </row>
    <row r="34">
      <c r="A34" t="str">
        <v/>
      </c>
      <c r="B34" t="str">
        <v/>
      </c>
      <c r="C34">
        <v>0</v>
      </c>
      <c r="D34">
        <v>0</v>
      </c>
      <c r="E34">
        <f>=SUM($D$2:D34)-SUM($C$2:C34)</f>
        <v>500</v>
      </c>
      <c r="F34">
        <f>=IF(E34&lt;=0,"⚠ SOLDE ÉPUISÉ — faire verser 500 €","")</f>
      </c>
      <c r="G34" t="str">
        <v>Non</v>
      </c>
      <c r="H34">
        <f>=IF(C34&gt;500,"⚠ Facture &gt; 500 € — à relancer","")</f>
      </c>
      <c r="I34">
        <f>=SUM($C$2:$C$120)-SUMIF($G$2:$G$120,"Oui",$C$2:$C$120)</f>
        <v>0</v>
      </c>
      <c r="J34">
        <f>=IF(I34&gt;500,"⚠ ENVOYER MESSAGE PAIEMENT","")</f>
      </c>
      <c r="K34" t="str">
        <v>Non</v>
      </c>
      <c r="L34" t="str">
        <v/>
      </c>
    </row>
    <row r="35">
      <c r="A35" t="str">
        <v/>
      </c>
      <c r="B35" t="str">
        <v/>
      </c>
      <c r="C35">
        <v>0</v>
      </c>
      <c r="D35">
        <v>0</v>
      </c>
      <c r="E35">
        <f>=SUM($D$2:D35)-SUM($C$2:C35)</f>
        <v>500</v>
      </c>
      <c r="F35">
        <f>=IF(E35&lt;=0,"⚠ SOLDE ÉPUISÉ — faire verser 500 €","")</f>
      </c>
      <c r="G35" t="str">
        <v>Non</v>
      </c>
      <c r="H35">
        <f>=IF(C35&gt;500,"⚠ Facture &gt; 500 € — à relancer","")</f>
      </c>
      <c r="I35">
        <f>=SUM($C$2:$C$120)-SUMIF($G$2:$G$120,"Oui",$C$2:$C$120)</f>
        <v>0</v>
      </c>
      <c r="J35">
        <f>=IF(I35&gt;500,"⚠ ENVOYER MESSAGE PAIEMENT","")</f>
      </c>
      <c r="K35" t="str">
        <v>Non</v>
      </c>
      <c r="L35" t="str">
        <v/>
      </c>
    </row>
    <row r="36">
      <c r="A36" t="str">
        <v/>
      </c>
      <c r="B36" t="str">
        <v/>
      </c>
      <c r="C36">
        <v>0</v>
      </c>
      <c r="D36">
        <v>0</v>
      </c>
      <c r="E36">
        <f>=SUM($D$2:D36)-SUM($C$2:C36)</f>
        <v>500</v>
      </c>
      <c r="F36">
        <f>=IF(E36&lt;=0,"⚠ SOLDE ÉPUISÉ — faire verser 500 €","")</f>
      </c>
      <c r="G36" t="str">
        <v>Non</v>
      </c>
      <c r="H36">
        <f>=IF(C36&gt;500,"⚠ Facture &gt; 500 € — à relancer","")</f>
      </c>
      <c r="I36">
        <f>=SUM($C$2:$C$120)-SUMIF($G$2:$G$120,"Oui",$C$2:$C$120)</f>
        <v>0</v>
      </c>
      <c r="J36">
        <f>=IF(I36&gt;500,"⚠ ENVOYER MESSAGE PAIEMENT","")</f>
      </c>
      <c r="K36" t="str">
        <v>Non</v>
      </c>
      <c r="L36" t="str">
        <v/>
      </c>
    </row>
    <row r="37">
      <c r="A37" t="str">
        <v/>
      </c>
      <c r="B37" t="str">
        <v/>
      </c>
      <c r="C37">
        <v>0</v>
      </c>
      <c r="D37">
        <v>0</v>
      </c>
      <c r="E37">
        <f>=SUM($D$2:D37)-SUM($C$2:C37)</f>
        <v>500</v>
      </c>
      <c r="F37">
        <f>=IF(E37&lt;=0,"⚠ SOLDE ÉPUISÉ — faire verser 500 €","")</f>
      </c>
      <c r="G37" t="str">
        <v>Non</v>
      </c>
      <c r="H37">
        <f>=IF(C37&gt;500,"⚠ Facture &gt; 500 € — à relancer","")</f>
      </c>
      <c r="I37">
        <f>=SUM($C$2:$C$120)-SUMIF($G$2:$G$120,"Oui",$C$2:$C$120)</f>
        <v>0</v>
      </c>
      <c r="J37">
        <f>=IF(I37&gt;500,"⚠ ENVOYER MESSAGE PAIEMENT","")</f>
      </c>
      <c r="K37" t="str">
        <v>Non</v>
      </c>
      <c r="L37" t="str">
        <v/>
      </c>
    </row>
    <row r="38">
      <c r="A38" t="str">
        <v/>
      </c>
      <c r="B38" t="str">
        <v/>
      </c>
      <c r="C38">
        <v>0</v>
      </c>
      <c r="D38">
        <v>0</v>
      </c>
      <c r="E38">
        <f>=SUM($D$2:D38)-SUM($C$2:C38)</f>
        <v>500</v>
      </c>
      <c r="F38">
        <f>=IF(E38&lt;=0,"⚠ SOLDE ÉPUISÉ — faire verser 500 €","")</f>
      </c>
      <c r="G38" t="str">
        <v>Non</v>
      </c>
      <c r="H38">
        <f>=IF(C38&gt;500,"⚠ Facture &gt; 500 € — à relancer","")</f>
      </c>
      <c r="I38">
        <f>=SUM($C$2:$C$120)-SUMIF($G$2:$G$120,"Oui",$C$2:$C$120)</f>
        <v>0</v>
      </c>
      <c r="J38">
        <f>=IF(I38&gt;500,"⚠ ENVOYER MESSAGE PAIEMENT","")</f>
      </c>
      <c r="K38" t="str">
        <v>Non</v>
      </c>
      <c r="L38" t="str">
        <v/>
      </c>
    </row>
    <row r="39">
      <c r="A39" t="str">
        <v/>
      </c>
      <c r="B39" t="str">
        <v/>
      </c>
      <c r="C39">
        <v>0</v>
      </c>
      <c r="D39">
        <v>0</v>
      </c>
      <c r="E39">
        <f>=SUM($D$2:D39)-SUM($C$2:C39)</f>
        <v>500</v>
      </c>
      <c r="F39">
        <f>=IF(E39&lt;=0,"⚠ SOLDE ÉPUISÉ — faire verser 500 €","")</f>
      </c>
      <c r="G39" t="str">
        <v>Non</v>
      </c>
      <c r="H39">
        <f>=IF(C39&gt;500,"⚠ Facture &gt; 500 € — à relancer","")</f>
      </c>
      <c r="I39">
        <f>=SUM($C$2:$C$120)-SUMIF($G$2:$G$120,"Oui",$C$2:$C$120)</f>
        <v>0</v>
      </c>
      <c r="J39">
        <f>=IF(I39&gt;500,"⚠ ENVOYER MESSAGE PAIEMENT","")</f>
      </c>
      <c r="K39" t="str">
        <v>Non</v>
      </c>
      <c r="L39" t="str">
        <v/>
      </c>
    </row>
    <row r="40">
      <c r="A40" t="str">
        <v/>
      </c>
      <c r="B40" t="str">
        <v/>
      </c>
      <c r="C40">
        <v>0</v>
      </c>
      <c r="D40">
        <v>0</v>
      </c>
      <c r="E40">
        <f>=SUM($D$2:D40)-SUM($C$2:C40)</f>
        <v>500</v>
      </c>
      <c r="F40">
        <f>=IF(E40&lt;=0,"⚠ SOLDE ÉPUISÉ — faire verser 500 €","")</f>
      </c>
      <c r="G40" t="str">
        <v>Non</v>
      </c>
      <c r="H40">
        <f>=IF(C40&gt;500,"⚠ Facture &gt; 500 € — à relancer","")</f>
      </c>
      <c r="I40">
        <f>=SUM($C$2:$C$120)-SUMIF($G$2:$G$120,"Oui",$C$2:$C$120)</f>
        <v>0</v>
      </c>
      <c r="J40">
        <f>=IF(I40&gt;500,"⚠ ENVOYER MESSAGE PAIEMENT","")</f>
      </c>
      <c r="K40" t="str">
        <v>Non</v>
      </c>
      <c r="L40" t="str">
        <v/>
      </c>
    </row>
    <row r="41">
      <c r="A41" t="str">
        <v/>
      </c>
      <c r="B41" t="str">
        <v/>
      </c>
      <c r="C41">
        <v>0</v>
      </c>
      <c r="D41">
        <v>0</v>
      </c>
      <c r="E41">
        <f>=SUM($D$2:D41)-SUM($C$2:C41)</f>
        <v>500</v>
      </c>
      <c r="F41">
        <f>=IF(E41&lt;=0,"⚠ SOLDE ÉPUISÉ — faire verser 500 €","")</f>
      </c>
      <c r="G41" t="str">
        <v>Non</v>
      </c>
      <c r="H41">
        <f>=IF(C41&gt;500,"⚠ Facture &gt; 500 € — à relancer","")</f>
      </c>
      <c r="I41">
        <f>=SUM($C$2:$C$120)-SUMIF($G$2:$G$120,"Oui",$C$2:$C$120)</f>
        <v>0</v>
      </c>
      <c r="J41">
        <f>=IF(I41&gt;500,"⚠ ENVOYER MESSAGE PAIEMENT","")</f>
      </c>
      <c r="K41" t="str">
        <v>Non</v>
      </c>
      <c r="L41" t="str">
        <v/>
      </c>
    </row>
    <row r="42">
      <c r="A42" t="str">
        <v/>
      </c>
      <c r="B42" t="str">
        <v/>
      </c>
      <c r="C42">
        <v>0</v>
      </c>
      <c r="D42">
        <v>0</v>
      </c>
      <c r="E42">
        <f>=SUM($D$2:D42)-SUM($C$2:C42)</f>
        <v>500</v>
      </c>
      <c r="F42">
        <f>=IF(E42&lt;=0,"⚠ SOLDE ÉPUISÉ — faire verser 500 €","")</f>
      </c>
      <c r="G42" t="str">
        <v>Non</v>
      </c>
      <c r="H42">
        <f>=IF(C42&gt;500,"⚠ Facture &gt; 500 € — à relancer","")</f>
      </c>
      <c r="I42">
        <f>=SUM($C$2:$C$120)-SUMIF($G$2:$G$120,"Oui",$C$2:$C$120)</f>
        <v>0</v>
      </c>
      <c r="J42">
        <f>=IF(I42&gt;500,"⚠ ENVOYER MESSAGE PAIEMENT","")</f>
      </c>
      <c r="K42" t="str">
        <v>Non</v>
      </c>
      <c r="L42" t="str">
        <v/>
      </c>
    </row>
    <row r="43">
      <c r="A43" t="str">
        <v/>
      </c>
      <c r="B43" t="str">
        <v/>
      </c>
      <c r="C43">
        <v>0</v>
      </c>
      <c r="D43">
        <v>0</v>
      </c>
      <c r="E43">
        <f>=SUM($D$2:D43)-SUM($C$2:C43)</f>
        <v>500</v>
      </c>
      <c r="F43">
        <f>=IF(E43&lt;=0,"⚠ SOLDE ÉPUISÉ — faire verser 500 €","")</f>
      </c>
      <c r="G43" t="str">
        <v>Non</v>
      </c>
      <c r="H43">
        <f>=IF(C43&gt;500,"⚠ Facture &gt; 500 € — à relancer","")</f>
      </c>
      <c r="I43">
        <f>=SUM($C$2:$C$120)-SUMIF($G$2:$G$120,"Oui",$C$2:$C$120)</f>
        <v>0</v>
      </c>
      <c r="J43">
        <f>=IF(I43&gt;500,"⚠ ENVOYER MESSAGE PAIEMENT","")</f>
      </c>
      <c r="K43" t="str">
        <v>Non</v>
      </c>
      <c r="L43" t="str">
        <v/>
      </c>
    </row>
    <row r="44">
      <c r="A44" t="str">
        <v/>
      </c>
      <c r="B44" t="str">
        <v/>
      </c>
      <c r="C44">
        <v>0</v>
      </c>
      <c r="D44">
        <v>0</v>
      </c>
      <c r="E44">
        <f>=SUM($D$2:D44)-SUM($C$2:C44)</f>
        <v>500</v>
      </c>
      <c r="F44">
        <f>=IF(E44&lt;=0,"⚠ SOLDE ÉPUISÉ — faire verser 500 €","")</f>
      </c>
      <c r="G44" t="str">
        <v>Non</v>
      </c>
      <c r="H44">
        <f>=IF(C44&gt;500,"⚠ Facture &gt; 500 € — à relancer","")</f>
      </c>
      <c r="I44">
        <f>=SUM($C$2:$C$120)-SUMIF($G$2:$G$120,"Oui",$C$2:$C$120)</f>
        <v>0</v>
      </c>
      <c r="J44">
        <f>=IF(I44&gt;500,"⚠ ENVOYER MESSAGE PAIEMENT","")</f>
      </c>
      <c r="K44" t="str">
        <v>Non</v>
      </c>
      <c r="L44" t="str">
        <v/>
      </c>
    </row>
    <row r="45">
      <c r="A45" t="str">
        <v/>
      </c>
      <c r="B45" t="str">
        <v/>
      </c>
      <c r="C45">
        <v>0</v>
      </c>
      <c r="D45">
        <v>0</v>
      </c>
      <c r="E45">
        <f>=SUM($D$2:D45)-SUM($C$2:C45)</f>
        <v>500</v>
      </c>
      <c r="F45">
        <f>=IF(E45&lt;=0,"⚠ SOLDE ÉPUISÉ — faire verser 500 €","")</f>
      </c>
      <c r="G45" t="str">
        <v>Non</v>
      </c>
      <c r="H45">
        <f>=IF(C45&gt;500,"⚠ Facture &gt; 500 € — à relancer","")</f>
      </c>
      <c r="I45">
        <f>=SUM($C$2:$C$120)-SUMIF($G$2:$G$120,"Oui",$C$2:$C$120)</f>
        <v>0</v>
      </c>
      <c r="J45">
        <f>=IF(I45&gt;500,"⚠ ENVOYER MESSAGE PAIEMENT","")</f>
      </c>
      <c r="K45" t="str">
        <v>Non</v>
      </c>
      <c r="L45" t="str">
        <v/>
      </c>
    </row>
    <row r="46">
      <c r="A46" t="str">
        <v/>
      </c>
      <c r="B46" t="str">
        <v/>
      </c>
      <c r="C46">
        <v>0</v>
      </c>
      <c r="D46">
        <v>0</v>
      </c>
      <c r="E46">
        <f>=SUM($D$2:D46)-SUM($C$2:C46)</f>
        <v>500</v>
      </c>
      <c r="F46">
        <f>=IF(E46&lt;=0,"⚠ SOLDE ÉPUISÉ — faire verser 500 €","")</f>
      </c>
      <c r="G46" t="str">
        <v>Non</v>
      </c>
      <c r="H46">
        <f>=IF(C46&gt;500,"⚠ Facture &gt; 500 € — à relancer","")</f>
      </c>
      <c r="I46">
        <f>=SUM($C$2:$C$120)-SUMIF($G$2:$G$120,"Oui",$C$2:$C$120)</f>
        <v>0</v>
      </c>
      <c r="J46">
        <f>=IF(I46&gt;500,"⚠ ENVOYER MESSAGE PAIEMENT","")</f>
      </c>
      <c r="K46" t="str">
        <v>Non</v>
      </c>
      <c r="L46" t="str">
        <v/>
      </c>
    </row>
    <row r="47">
      <c r="A47" t="str">
        <v/>
      </c>
      <c r="B47" t="str">
        <v/>
      </c>
      <c r="C47">
        <v>0</v>
      </c>
      <c r="D47">
        <v>0</v>
      </c>
      <c r="E47">
        <f>=SUM($D$2:D47)-SUM($C$2:C47)</f>
        <v>500</v>
      </c>
      <c r="F47">
        <f>=IF(E47&lt;=0,"⚠ SOLDE ÉPUISÉ — faire verser 500 €","")</f>
      </c>
      <c r="G47" t="str">
        <v>Non</v>
      </c>
      <c r="H47">
        <f>=IF(C47&gt;500,"⚠ Facture &gt; 500 € — à relancer","")</f>
      </c>
      <c r="I47">
        <f>=SUM($C$2:$C$120)-SUMIF($G$2:$G$120,"Oui",$C$2:$C$120)</f>
        <v>0</v>
      </c>
      <c r="J47">
        <f>=IF(I47&gt;500,"⚠ ENVOYER MESSAGE PAIEMENT","")</f>
      </c>
      <c r="K47" t="str">
        <v>Non</v>
      </c>
      <c r="L47" t="str">
        <v/>
      </c>
    </row>
    <row r="48">
      <c r="A48" t="str">
        <v/>
      </c>
      <c r="B48" t="str">
        <v/>
      </c>
      <c r="C48">
        <v>0</v>
      </c>
      <c r="D48">
        <v>0</v>
      </c>
      <c r="E48">
        <f>=SUM($D$2:D48)-SUM($C$2:C48)</f>
        <v>500</v>
      </c>
      <c r="F48">
        <f>=IF(E48&lt;=0,"⚠ SOLDE ÉPUISÉ — faire verser 500 €","")</f>
      </c>
      <c r="G48" t="str">
        <v>Non</v>
      </c>
      <c r="H48">
        <f>=IF(C48&gt;500,"⚠ Facture &gt; 500 € — à relancer","")</f>
      </c>
      <c r="I48">
        <f>=SUM($C$2:$C$120)-SUMIF($G$2:$G$120,"Oui",$C$2:$C$120)</f>
        <v>0</v>
      </c>
      <c r="J48">
        <f>=IF(I48&gt;500,"⚠ ENVOYER MESSAGE PAIEMENT","")</f>
      </c>
      <c r="K48" t="str">
        <v>Non</v>
      </c>
      <c r="L48" t="str">
        <v/>
      </c>
    </row>
    <row r="49">
      <c r="A49" t="str">
        <v/>
      </c>
      <c r="B49" t="str">
        <v/>
      </c>
      <c r="C49">
        <v>0</v>
      </c>
      <c r="D49">
        <v>0</v>
      </c>
      <c r="E49">
        <f>=SUM($D$2:D49)-SUM($C$2:C49)</f>
        <v>500</v>
      </c>
      <c r="F49">
        <f>=IF(E49&lt;=0,"⚠ SOLDE ÉPUISÉ — faire verser 500 €","")</f>
      </c>
      <c r="G49" t="str">
        <v>Non</v>
      </c>
      <c r="H49">
        <f>=IF(C49&gt;500,"⚠ Facture &gt; 500 € — à relancer","")</f>
      </c>
      <c r="I49">
        <f>=SUM($C$2:$C$120)-SUMIF($G$2:$G$120,"Oui",$C$2:$C$120)</f>
        <v>0</v>
      </c>
      <c r="J49">
        <f>=IF(I49&gt;500,"⚠ ENVOYER MESSAGE PAIEMENT","")</f>
      </c>
      <c r="K49" t="str">
        <v>Non</v>
      </c>
      <c r="L49" t="str">
        <v/>
      </c>
    </row>
    <row r="50">
      <c r="A50" t="str">
        <v/>
      </c>
      <c r="B50" t="str">
        <v/>
      </c>
      <c r="C50">
        <v>0</v>
      </c>
      <c r="D50">
        <v>0</v>
      </c>
      <c r="E50">
        <f>=SUM($D$2:D50)-SUM($C$2:C50)</f>
        <v>500</v>
      </c>
      <c r="F50">
        <f>=IF(E50&lt;=0,"⚠ SOLDE ÉPUISÉ — faire verser 500 €","")</f>
      </c>
      <c r="G50" t="str">
        <v>Non</v>
      </c>
      <c r="H50">
        <f>=IF(C50&gt;500,"⚠ Facture &gt; 500 € — à relancer","")</f>
      </c>
      <c r="I50">
        <f>=SUM($C$2:$C$120)-SUMIF($G$2:$G$120,"Oui",$C$2:$C$120)</f>
        <v>0</v>
      </c>
      <c r="J50">
        <f>=IF(I50&gt;500,"⚠ ENVOYER MESSAGE PAIEMENT","")</f>
      </c>
      <c r="K50" t="str">
        <v>Non</v>
      </c>
      <c r="L50" t="str">
        <v/>
      </c>
    </row>
    <row r="51">
      <c r="A51" t="str">
        <v/>
      </c>
      <c r="B51" t="str">
        <v/>
      </c>
      <c r="C51">
        <v>0</v>
      </c>
      <c r="D51">
        <v>0</v>
      </c>
      <c r="E51">
        <f>=SUM($D$2:D51)-SUM($C$2:C51)</f>
        <v>500</v>
      </c>
      <c r="F51">
        <f>=IF(E51&lt;=0,"⚠ SOLDE ÉPUISÉ — faire verser 500 €","")</f>
      </c>
      <c r="G51" t="str">
        <v>Non</v>
      </c>
      <c r="H51">
        <f>=IF(C51&gt;500,"⚠ Facture &gt; 500 € — à relancer","")</f>
      </c>
      <c r="I51">
        <f>=SUM($C$2:$C$120)-SUMIF($G$2:$G$120,"Oui",$C$2:$C$120)</f>
        <v>0</v>
      </c>
      <c r="J51">
        <f>=IF(I51&gt;500,"⚠ ENVOYER MESSAGE PAIEMENT","")</f>
      </c>
      <c r="K51" t="str">
        <v>Non</v>
      </c>
      <c r="L51" t="str">
        <v/>
      </c>
    </row>
    <row r="52">
      <c r="A52" t="str">
        <v/>
      </c>
      <c r="B52" t="str">
        <v/>
      </c>
      <c r="C52">
        <v>0</v>
      </c>
      <c r="D52">
        <v>0</v>
      </c>
      <c r="E52">
        <f>=SUM($D$2:D52)-SUM($C$2:C52)</f>
        <v>500</v>
      </c>
      <c r="F52">
        <f>=IF(E52&lt;=0,"⚠ SOLDE ÉPUISÉ — faire verser 500 €","")</f>
      </c>
      <c r="G52" t="str">
        <v>Non</v>
      </c>
      <c r="H52">
        <f>=IF(C52&gt;500,"⚠ Facture &gt; 500 € — à relancer","")</f>
      </c>
      <c r="I52">
        <f>=SUM($C$2:$C$120)-SUMIF($G$2:$G$120,"Oui",$C$2:$C$120)</f>
        <v>0</v>
      </c>
      <c r="J52">
        <f>=IF(I52&gt;500,"⚠ ENVOYER MESSAGE PAIEMENT","")</f>
      </c>
      <c r="K52" t="str">
        <v>Non</v>
      </c>
      <c r="L52" t="str">
        <v/>
      </c>
    </row>
    <row r="53">
      <c r="A53" t="str">
        <v/>
      </c>
      <c r="B53" t="str">
        <v/>
      </c>
      <c r="C53">
        <v>0</v>
      </c>
      <c r="D53">
        <v>0</v>
      </c>
      <c r="E53">
        <f>=SUM($D$2:D53)-SUM($C$2:C53)</f>
        <v>500</v>
      </c>
      <c r="F53">
        <f>=IF(E53&lt;=0,"⚠ SOLDE ÉPUISÉ — faire verser 500 €","")</f>
      </c>
      <c r="G53" t="str">
        <v>Non</v>
      </c>
      <c r="H53">
        <f>=IF(C53&gt;500,"⚠ Facture &gt; 500 € — à relancer","")</f>
      </c>
      <c r="I53">
        <f>=SUM($C$2:$C$120)-SUMIF($G$2:$G$120,"Oui",$C$2:$C$120)</f>
        <v>0</v>
      </c>
      <c r="J53">
        <f>=IF(I53&gt;500,"⚠ ENVOYER MESSAGE PAIEMENT","")</f>
      </c>
      <c r="K53" t="str">
        <v>Non</v>
      </c>
      <c r="L53" t="str">
        <v/>
      </c>
    </row>
    <row r="54">
      <c r="A54" t="str">
        <v/>
      </c>
      <c r="B54" t="str">
        <v/>
      </c>
      <c r="C54">
        <v>0</v>
      </c>
      <c r="D54">
        <v>0</v>
      </c>
      <c r="E54">
        <f>=SUM($D$2:D54)-SUM($C$2:C54)</f>
        <v>500</v>
      </c>
      <c r="F54">
        <f>=IF(E54&lt;=0,"⚠ SOLDE ÉPUISÉ — faire verser 500 €","")</f>
      </c>
      <c r="G54" t="str">
        <v>Non</v>
      </c>
      <c r="H54">
        <f>=IF(C54&gt;500,"⚠ Facture &gt; 500 € — à relancer","")</f>
      </c>
      <c r="I54">
        <f>=SUM($C$2:$C$120)-SUMIF($G$2:$G$120,"Oui",$C$2:$C$120)</f>
        <v>0</v>
      </c>
      <c r="J54">
        <f>=IF(I54&gt;500,"⚠ ENVOYER MESSAGE PAIEMENT","")</f>
      </c>
      <c r="K54" t="str">
        <v>Non</v>
      </c>
      <c r="L54" t="str">
        <v/>
      </c>
    </row>
    <row r="55">
      <c r="A55" t="str">
        <v/>
      </c>
      <c r="B55" t="str">
        <v/>
      </c>
      <c r="C55">
        <v>0</v>
      </c>
      <c r="D55">
        <v>0</v>
      </c>
      <c r="E55">
        <f>=SUM($D$2:D55)-SUM($C$2:C55)</f>
        <v>500</v>
      </c>
      <c r="F55">
        <f>=IF(E55&lt;=0,"⚠ SOLDE ÉPUISÉ — faire verser 500 €","")</f>
      </c>
      <c r="G55" t="str">
        <v>Non</v>
      </c>
      <c r="H55">
        <f>=IF(C55&gt;500,"⚠ Facture &gt; 500 € — à relancer","")</f>
      </c>
      <c r="I55">
        <f>=SUM($C$2:$C$120)-SUMIF($G$2:$G$120,"Oui",$C$2:$C$120)</f>
        <v>0</v>
      </c>
      <c r="J55">
        <f>=IF(I55&gt;500,"⚠ ENVOYER MESSAGE PAIEMENT","")</f>
      </c>
      <c r="K55" t="str">
        <v>Non</v>
      </c>
      <c r="L55" t="str">
        <v/>
      </c>
    </row>
    <row r="56">
      <c r="A56" t="str">
        <v/>
      </c>
      <c r="B56" t="str">
        <v/>
      </c>
      <c r="C56">
        <v>0</v>
      </c>
      <c r="D56">
        <v>0</v>
      </c>
      <c r="E56">
        <f>=SUM($D$2:D56)-SUM($C$2:C56)</f>
        <v>500</v>
      </c>
      <c r="F56">
        <f>=IF(E56&lt;=0,"⚠ SOLDE ÉPUISÉ — faire verser 500 €","")</f>
      </c>
      <c r="G56" t="str">
        <v>Non</v>
      </c>
      <c r="H56">
        <f>=IF(C56&gt;500,"⚠ Facture &gt; 500 € — à relancer","")</f>
      </c>
      <c r="I56">
        <f>=SUM($C$2:$C$120)-SUMIF($G$2:$G$120,"Oui",$C$2:$C$120)</f>
        <v>0</v>
      </c>
      <c r="J56">
        <f>=IF(I56&gt;500,"⚠ ENVOYER MESSAGE PAIEMENT","")</f>
      </c>
      <c r="K56" t="str">
        <v>Non</v>
      </c>
      <c r="L56" t="str">
        <v/>
      </c>
    </row>
    <row r="57">
      <c r="A57" t="str">
        <v/>
      </c>
      <c r="B57" t="str">
        <v/>
      </c>
      <c r="C57">
        <v>0</v>
      </c>
      <c r="D57">
        <v>0</v>
      </c>
      <c r="E57">
        <f>=SUM($D$2:D57)-SUM($C$2:C57)</f>
        <v>500</v>
      </c>
      <c r="F57">
        <f>=IF(E57&lt;=0,"⚠ SOLDE ÉPUISÉ — faire verser 500 €","")</f>
      </c>
      <c r="G57" t="str">
        <v>Non</v>
      </c>
      <c r="H57">
        <f>=IF(C57&gt;500,"⚠ Facture &gt; 500 € — à relancer","")</f>
      </c>
      <c r="I57">
        <f>=SUM($C$2:$C$120)-SUMIF($G$2:$G$120,"Oui",$C$2:$C$120)</f>
        <v>0</v>
      </c>
      <c r="J57">
        <f>=IF(I57&gt;500,"⚠ ENVOYER MESSAGE PAIEMENT","")</f>
      </c>
      <c r="K57" t="str">
        <v>Non</v>
      </c>
      <c r="L57" t="str">
        <v/>
      </c>
    </row>
    <row r="58">
      <c r="A58" t="str">
        <v/>
      </c>
      <c r="B58" t="str">
        <v/>
      </c>
      <c r="C58">
        <v>0</v>
      </c>
      <c r="D58">
        <v>0</v>
      </c>
      <c r="E58">
        <f>=SUM($D$2:D58)-SUM($C$2:C58)</f>
        <v>500</v>
      </c>
      <c r="F58">
        <f>=IF(E58&lt;=0,"⚠ SOLDE ÉPUISÉ — faire verser 500 €","")</f>
      </c>
      <c r="G58" t="str">
        <v>Non</v>
      </c>
      <c r="H58">
        <f>=IF(C58&gt;500,"⚠ Facture &gt; 500 € — à relancer","")</f>
      </c>
      <c r="I58">
        <f>=SUM($C$2:$C$120)-SUMIF($G$2:$G$120,"Oui",$C$2:$C$120)</f>
        <v>0</v>
      </c>
      <c r="J58">
        <f>=IF(I58&gt;500,"⚠ ENVOYER MESSAGE PAIEMENT","")</f>
      </c>
      <c r="K58" t="str">
        <v>Non</v>
      </c>
      <c r="L58" t="str">
        <v/>
      </c>
    </row>
    <row r="59">
      <c r="A59" t="str">
        <v/>
      </c>
      <c r="B59" t="str">
        <v/>
      </c>
      <c r="C59">
        <v>0</v>
      </c>
      <c r="D59">
        <v>0</v>
      </c>
      <c r="E59">
        <f>=SUM($D$2:D59)-SUM($C$2:C59)</f>
        <v>500</v>
      </c>
      <c r="F59">
        <f>=IF(E59&lt;=0,"⚠ SOLDE ÉPUISÉ — faire verser 500 €","")</f>
      </c>
      <c r="G59" t="str">
        <v>Non</v>
      </c>
      <c r="H59">
        <f>=IF(C59&gt;500,"⚠ Facture &gt; 500 € — à relancer","")</f>
      </c>
      <c r="I59">
        <f>=SUM($C$2:$C$120)-SUMIF($G$2:$G$120,"Oui",$C$2:$C$120)</f>
        <v>0</v>
      </c>
      <c r="J59">
        <f>=IF(I59&gt;500,"⚠ ENVOYER MESSAGE PAIEMENT","")</f>
      </c>
      <c r="K59" t="str">
        <v>Non</v>
      </c>
      <c r="L59" t="str">
        <v/>
      </c>
    </row>
    <row r="60">
      <c r="A60" t="str">
        <v/>
      </c>
      <c r="B60" t="str">
        <v/>
      </c>
      <c r="C60">
        <v>0</v>
      </c>
      <c r="D60">
        <v>0</v>
      </c>
      <c r="E60">
        <f>=SUM($D$2:D60)-SUM($C$2:C60)</f>
        <v>500</v>
      </c>
      <c r="F60">
        <f>=IF(E60&lt;=0,"⚠ SOLDE ÉPUISÉ — faire verser 500 €","")</f>
      </c>
      <c r="G60" t="str">
        <v>Non</v>
      </c>
      <c r="H60">
        <f>=IF(C60&gt;500,"⚠ Facture &gt; 500 € — à relancer","")</f>
      </c>
      <c r="I60">
        <f>=SUM($C$2:$C$120)-SUMIF($G$2:$G$120,"Oui",$C$2:$C$120)</f>
        <v>0</v>
      </c>
      <c r="J60">
        <f>=IF(I60&gt;500,"⚠ ENVOYER MESSAGE PAIEMENT","")</f>
      </c>
      <c r="K60" t="str">
        <v>Non</v>
      </c>
      <c r="L60" t="str">
        <v/>
      </c>
    </row>
    <row r="61">
      <c r="A61" t="str">
        <v/>
      </c>
      <c r="B61" t="str">
        <v/>
      </c>
      <c r="C61">
        <v>0</v>
      </c>
      <c r="D61">
        <v>0</v>
      </c>
      <c r="E61">
        <f>=SUM($D$2:D61)-SUM($C$2:C61)</f>
        <v>500</v>
      </c>
      <c r="F61">
        <f>=IF(E61&lt;=0,"⚠ SOLDE ÉPUISÉ — faire verser 500 €","")</f>
      </c>
      <c r="G61" t="str">
        <v>Non</v>
      </c>
      <c r="H61">
        <f>=IF(C61&gt;500,"⚠ Facture &gt; 500 € — à relancer","")</f>
      </c>
      <c r="I61">
        <f>=SUM($C$2:$C$120)-SUMIF($G$2:$G$120,"Oui",$C$2:$C$120)</f>
        <v>0</v>
      </c>
      <c r="J61">
        <f>=IF(I61&gt;500,"⚠ ENVOYER MESSAGE PAIEMENT","")</f>
      </c>
      <c r="K61" t="str">
        <v>Non</v>
      </c>
      <c r="L61" t="str">
        <v/>
      </c>
    </row>
    <row r="62">
      <c r="A62" t="str">
        <v/>
      </c>
      <c r="B62" t="str">
        <v/>
      </c>
      <c r="C62">
        <v>0</v>
      </c>
      <c r="D62">
        <v>0</v>
      </c>
      <c r="E62">
        <f>=SUM($D$2:D62)-SUM($C$2:C62)</f>
        <v>500</v>
      </c>
      <c r="F62">
        <f>=IF(E62&lt;=0,"⚠ SOLDE ÉPUISÉ — faire verser 500 €","")</f>
      </c>
      <c r="G62" t="str">
        <v>Non</v>
      </c>
      <c r="H62">
        <f>=IF(C62&gt;500,"⚠ Facture &gt; 500 € — à relancer","")</f>
      </c>
      <c r="I62">
        <f>=SUM($C$2:$C$120)-SUMIF($G$2:$G$120,"Oui",$C$2:$C$120)</f>
        <v>0</v>
      </c>
      <c r="J62">
        <f>=IF(I62&gt;500,"⚠ ENVOYER MESSAGE PAIEMENT","")</f>
      </c>
      <c r="K62" t="str">
        <v>Non</v>
      </c>
      <c r="L62" t="str">
        <v/>
      </c>
    </row>
    <row r="63">
      <c r="A63" t="str">
        <v/>
      </c>
      <c r="B63" t="str">
        <v/>
      </c>
      <c r="C63">
        <v>0</v>
      </c>
      <c r="D63">
        <v>0</v>
      </c>
      <c r="E63">
        <f>=SUM($D$2:D63)-SUM($C$2:C63)</f>
        <v>500</v>
      </c>
      <c r="F63">
        <f>=IF(E63&lt;=0,"⚠ SOLDE ÉPUISÉ — faire verser 500 €","")</f>
      </c>
      <c r="G63" t="str">
        <v>Non</v>
      </c>
      <c r="H63">
        <f>=IF(C63&gt;500,"⚠ Facture &gt; 500 € — à relancer","")</f>
      </c>
      <c r="I63">
        <f>=SUM($C$2:$C$120)-SUMIF($G$2:$G$120,"Oui",$C$2:$C$120)</f>
        <v>0</v>
      </c>
      <c r="J63">
        <f>=IF(I63&gt;500,"⚠ ENVOYER MESSAGE PAIEMENT","")</f>
      </c>
      <c r="K63" t="str">
        <v>Non</v>
      </c>
      <c r="L63" t="str">
        <v/>
      </c>
    </row>
    <row r="64">
      <c r="A64" t="str">
        <v/>
      </c>
      <c r="B64" t="str">
        <v/>
      </c>
      <c r="C64">
        <v>0</v>
      </c>
      <c r="D64">
        <v>0</v>
      </c>
      <c r="E64">
        <f>=SUM($D$2:D64)-SUM($C$2:C64)</f>
        <v>500</v>
      </c>
      <c r="F64">
        <f>=IF(E64&lt;=0,"⚠ SOLDE ÉPUISÉ — faire verser 500 €","")</f>
      </c>
      <c r="G64" t="str">
        <v>Non</v>
      </c>
      <c r="H64">
        <f>=IF(C64&gt;500,"⚠ Facture &gt; 500 € — à relancer","")</f>
      </c>
      <c r="I64">
        <f>=SUM($C$2:$C$120)-SUMIF($G$2:$G$120,"Oui",$C$2:$C$120)</f>
        <v>0</v>
      </c>
      <c r="J64">
        <f>=IF(I64&gt;500,"⚠ ENVOYER MESSAGE PAIEMENT","")</f>
      </c>
      <c r="K64" t="str">
        <v>Non</v>
      </c>
      <c r="L64" t="str">
        <v/>
      </c>
    </row>
    <row r="65">
      <c r="A65" t="str">
        <v/>
      </c>
      <c r="B65" t="str">
        <v/>
      </c>
      <c r="C65">
        <v>0</v>
      </c>
      <c r="D65">
        <v>0</v>
      </c>
      <c r="E65">
        <f>=SUM($D$2:D65)-SUM($C$2:C65)</f>
        <v>500</v>
      </c>
      <c r="F65">
        <f>=IF(E65&lt;=0,"⚠ SOLDE ÉPUISÉ — faire verser 500 €","")</f>
      </c>
      <c r="G65" t="str">
        <v>Non</v>
      </c>
      <c r="H65">
        <f>=IF(C65&gt;500,"⚠ Facture &gt; 500 € — à relancer","")</f>
      </c>
      <c r="I65">
        <f>=SUM($C$2:$C$120)-SUMIF($G$2:$G$120,"Oui",$C$2:$C$120)</f>
        <v>0</v>
      </c>
      <c r="J65">
        <f>=IF(I65&gt;500,"⚠ ENVOYER MESSAGE PAIEMENT","")</f>
      </c>
      <c r="K65" t="str">
        <v>Non</v>
      </c>
      <c r="L65" t="str">
        <v/>
      </c>
    </row>
    <row r="66">
      <c r="A66" t="str">
        <v/>
      </c>
      <c r="B66" t="str">
        <v/>
      </c>
      <c r="C66">
        <v>0</v>
      </c>
      <c r="D66">
        <v>0</v>
      </c>
      <c r="E66">
        <f>=SUM($D$2:D66)-SUM($C$2:C66)</f>
        <v>500</v>
      </c>
      <c r="F66">
        <f>=IF(E66&lt;=0,"⚠ SOLDE ÉPUISÉ — faire verser 500 €","")</f>
      </c>
      <c r="G66" t="str">
        <v>Non</v>
      </c>
      <c r="H66">
        <f>=IF(C66&gt;500,"⚠ Facture &gt; 500 € — à relancer","")</f>
      </c>
      <c r="I66">
        <f>=SUM($C$2:$C$120)-SUMIF($G$2:$G$120,"Oui",$C$2:$C$120)</f>
        <v>0</v>
      </c>
      <c r="J66">
        <f>=IF(I66&gt;500,"⚠ ENVOYER MESSAGE PAIEMENT","")</f>
      </c>
      <c r="K66" t="str">
        <v>Non</v>
      </c>
      <c r="L66" t="str">
        <v/>
      </c>
    </row>
    <row r="67">
      <c r="A67" t="str">
        <v/>
      </c>
      <c r="B67" t="str">
        <v/>
      </c>
      <c r="C67">
        <v>0</v>
      </c>
      <c r="D67">
        <v>0</v>
      </c>
      <c r="E67">
        <f>=SUM($D$2:D67)-SUM($C$2:C67)</f>
        <v>500</v>
      </c>
      <c r="F67">
        <f>=IF(E67&lt;=0,"⚠ SOLDE ÉPUISÉ — faire verser 500 €","")</f>
      </c>
      <c r="G67" t="str">
        <v>Non</v>
      </c>
      <c r="H67">
        <f>=IF(C67&gt;500,"⚠ Facture &gt; 500 € — à relancer","")</f>
      </c>
      <c r="I67">
        <f>=SUM($C$2:$C$120)-SUMIF($G$2:$G$120,"Oui",$C$2:$C$120)</f>
        <v>0</v>
      </c>
      <c r="J67">
        <f>=IF(I67&gt;500,"⚠ ENVOYER MESSAGE PAIEMENT","")</f>
      </c>
      <c r="K67" t="str">
        <v>Non</v>
      </c>
      <c r="L67" t="str">
        <v/>
      </c>
    </row>
    <row r="68">
      <c r="A68" t="str">
        <v/>
      </c>
      <c r="B68" t="str">
        <v/>
      </c>
      <c r="C68">
        <v>0</v>
      </c>
      <c r="D68">
        <v>0</v>
      </c>
      <c r="E68">
        <f>=SUM($D$2:D68)-SUM($C$2:C68)</f>
        <v>500</v>
      </c>
      <c r="F68">
        <f>=IF(E68&lt;=0,"⚠ SOLDE ÉPUISÉ — faire verser 500 €","")</f>
      </c>
      <c r="G68" t="str">
        <v>Non</v>
      </c>
      <c r="H68">
        <f>=IF(C68&gt;500,"⚠ Facture &gt; 500 € — à relancer","")</f>
      </c>
      <c r="I68">
        <f>=SUM($C$2:$C$120)-SUMIF($G$2:$G$120,"Oui",$C$2:$C$120)</f>
        <v>0</v>
      </c>
      <c r="J68">
        <f>=IF(I68&gt;500,"⚠ ENVOYER MESSAGE PAIEMENT","")</f>
      </c>
      <c r="K68" t="str">
        <v>Non</v>
      </c>
      <c r="L68" t="str">
        <v/>
      </c>
    </row>
    <row r="69">
      <c r="A69" t="str">
        <v/>
      </c>
      <c r="B69" t="str">
        <v/>
      </c>
      <c r="C69">
        <v>0</v>
      </c>
      <c r="D69">
        <v>0</v>
      </c>
      <c r="E69">
        <f>=SUM($D$2:D69)-SUM($C$2:C69)</f>
        <v>500</v>
      </c>
      <c r="F69">
        <f>=IF(E69&lt;=0,"⚠ SOLDE ÉPUISÉ — faire verser 500 €","")</f>
      </c>
      <c r="G69" t="str">
        <v>Non</v>
      </c>
      <c r="H69">
        <f>=IF(C69&gt;500,"⚠ Facture &gt; 500 € — à relancer","")</f>
      </c>
      <c r="I69">
        <f>=SUM($C$2:$C$120)-SUMIF($G$2:$G$120,"Oui",$C$2:$C$120)</f>
        <v>0</v>
      </c>
      <c r="J69">
        <f>=IF(I69&gt;500,"⚠ ENVOYER MESSAGE PAIEMENT","")</f>
      </c>
      <c r="K69" t="str">
        <v>Non</v>
      </c>
      <c r="L69" t="str">
        <v/>
      </c>
    </row>
    <row r="70">
      <c r="A70" t="str">
        <v/>
      </c>
      <c r="B70" t="str">
        <v/>
      </c>
      <c r="C70">
        <v>0</v>
      </c>
      <c r="D70">
        <v>0</v>
      </c>
      <c r="E70">
        <f>=SUM($D$2:D70)-SUM($C$2:C70)</f>
        <v>500</v>
      </c>
      <c r="F70">
        <f>=IF(E70&lt;=0,"⚠ SOLDE ÉPUISÉ — faire verser 500 €","")</f>
      </c>
      <c r="G70" t="str">
        <v>Non</v>
      </c>
      <c r="H70">
        <f>=IF(C70&gt;500,"⚠ Facture &gt; 500 € — à relancer","")</f>
      </c>
      <c r="I70">
        <f>=SUM($C$2:$C$120)-SUMIF($G$2:$G$120,"Oui",$C$2:$C$120)</f>
        <v>0</v>
      </c>
      <c r="J70">
        <f>=IF(I70&gt;500,"⚠ ENVOYER MESSAGE PAIEMENT","")</f>
      </c>
      <c r="K70" t="str">
        <v>Non</v>
      </c>
      <c r="L70" t="str">
        <v/>
      </c>
    </row>
    <row r="71">
      <c r="A71" t="str">
        <v/>
      </c>
      <c r="B71" t="str">
        <v/>
      </c>
      <c r="C71">
        <v>0</v>
      </c>
      <c r="D71">
        <v>0</v>
      </c>
      <c r="E71">
        <f>=SUM($D$2:D71)-SUM($C$2:C71)</f>
        <v>500</v>
      </c>
      <c r="F71">
        <f>=IF(E71&lt;=0,"⚠ SOLDE ÉPUISÉ — faire verser 500 €","")</f>
      </c>
      <c r="G71" t="str">
        <v>Non</v>
      </c>
      <c r="H71">
        <f>=IF(C71&gt;500,"⚠ Facture &gt; 500 € — à relancer","")</f>
      </c>
      <c r="I71">
        <f>=SUM($C$2:$C$120)-SUMIF($G$2:$G$120,"Oui",$C$2:$C$120)</f>
        <v>0</v>
      </c>
      <c r="J71">
        <f>=IF(I71&gt;500,"⚠ ENVOYER MESSAGE PAIEMENT","")</f>
      </c>
      <c r="K71" t="str">
        <v>Non</v>
      </c>
      <c r="L71" t="str">
        <v/>
      </c>
    </row>
    <row r="72">
      <c r="A72" t="str">
        <v/>
      </c>
      <c r="B72" t="str">
        <v/>
      </c>
      <c r="C72">
        <v>0</v>
      </c>
      <c r="D72">
        <v>0</v>
      </c>
      <c r="E72">
        <f>=SUM($D$2:D72)-SUM($C$2:C72)</f>
        <v>500</v>
      </c>
      <c r="F72">
        <f>=IF(E72&lt;=0,"⚠ SOLDE ÉPUISÉ — faire verser 500 €","")</f>
      </c>
      <c r="G72" t="str">
        <v>Non</v>
      </c>
      <c r="H72">
        <f>=IF(C72&gt;500,"⚠ Facture &gt; 500 € — à relancer","")</f>
      </c>
      <c r="I72">
        <f>=SUM($C$2:$C$120)-SUMIF($G$2:$G$120,"Oui",$C$2:$C$120)</f>
        <v>0</v>
      </c>
      <c r="J72">
        <f>=IF(I72&gt;500,"⚠ ENVOYER MESSAGE PAIEMENT","")</f>
      </c>
      <c r="K72" t="str">
        <v>Non</v>
      </c>
      <c r="L72" t="str">
        <v/>
      </c>
    </row>
    <row r="73">
      <c r="A73" t="str">
        <v/>
      </c>
      <c r="B73" t="str">
        <v/>
      </c>
      <c r="C73">
        <v>0</v>
      </c>
      <c r="D73">
        <v>0</v>
      </c>
      <c r="E73">
        <f>=SUM($D$2:D73)-SUM($C$2:C73)</f>
        <v>500</v>
      </c>
      <c r="F73">
        <f>=IF(E73&lt;=0,"⚠ SOLDE ÉPUISÉ — faire verser 500 €","")</f>
      </c>
      <c r="G73" t="str">
        <v>Non</v>
      </c>
      <c r="H73">
        <f>=IF(C73&gt;500,"⚠ Facture &gt; 500 € — à relancer","")</f>
      </c>
      <c r="I73">
        <f>=SUM($C$2:$C$120)-SUMIF($G$2:$G$120,"Oui",$C$2:$C$120)</f>
        <v>0</v>
      </c>
      <c r="J73">
        <f>=IF(I73&gt;500,"⚠ ENVOYER MESSAGE PAIEMENT","")</f>
      </c>
      <c r="K73" t="str">
        <v>Non</v>
      </c>
      <c r="L73" t="str">
        <v/>
      </c>
    </row>
    <row r="74">
      <c r="A74" t="str">
        <v/>
      </c>
      <c r="B74" t="str">
        <v/>
      </c>
      <c r="C74">
        <v>0</v>
      </c>
      <c r="D74">
        <v>0</v>
      </c>
      <c r="E74">
        <f>=SUM($D$2:D74)-SUM($C$2:C74)</f>
        <v>500</v>
      </c>
      <c r="F74">
        <f>=IF(E74&lt;=0,"⚠ SOLDE ÉPUISÉ — faire verser 500 €","")</f>
      </c>
      <c r="G74" t="str">
        <v>Non</v>
      </c>
      <c r="H74">
        <f>=IF(C74&gt;500,"⚠ Facture &gt; 500 € — à relancer","")</f>
      </c>
      <c r="I74">
        <f>=SUM($C$2:$C$120)-SUMIF($G$2:$G$120,"Oui",$C$2:$C$120)</f>
        <v>0</v>
      </c>
      <c r="J74">
        <f>=IF(I74&gt;500,"⚠ ENVOYER MESSAGE PAIEMENT","")</f>
      </c>
      <c r="K74" t="str">
        <v>Non</v>
      </c>
      <c r="L74" t="str">
        <v/>
      </c>
    </row>
    <row r="75">
      <c r="A75" t="str">
        <v/>
      </c>
      <c r="B75" t="str">
        <v/>
      </c>
      <c r="C75">
        <v>0</v>
      </c>
      <c r="D75">
        <v>0</v>
      </c>
      <c r="E75">
        <f>=SUM($D$2:D75)-SUM($C$2:C75)</f>
        <v>500</v>
      </c>
      <c r="F75">
        <f>=IF(E75&lt;=0,"⚠ SOLDE ÉPUISÉ — faire verser 500 €","")</f>
      </c>
      <c r="G75" t="str">
        <v>Non</v>
      </c>
      <c r="H75">
        <f>=IF(C75&gt;500,"⚠ Facture &gt; 500 € — à relancer","")</f>
      </c>
      <c r="I75">
        <f>=SUM($C$2:$C$120)-SUMIF($G$2:$G$120,"Oui",$C$2:$C$120)</f>
        <v>0</v>
      </c>
      <c r="J75">
        <f>=IF(I75&gt;500,"⚠ ENVOYER MESSAGE PAIEMENT","")</f>
      </c>
      <c r="K75" t="str">
        <v>Non</v>
      </c>
      <c r="L75" t="str">
        <v/>
      </c>
    </row>
    <row r="76">
      <c r="A76" t="str">
        <v/>
      </c>
      <c r="B76" t="str">
        <v/>
      </c>
      <c r="C76">
        <v>0</v>
      </c>
      <c r="D76">
        <v>0</v>
      </c>
      <c r="E76">
        <f>=SUM($D$2:D76)-SUM($C$2:C76)</f>
        <v>500</v>
      </c>
      <c r="F76">
        <f>=IF(E76&lt;=0,"⚠ SOLDE ÉPUISÉ — faire verser 500 €","")</f>
      </c>
      <c r="G76" t="str">
        <v>Non</v>
      </c>
      <c r="H76">
        <f>=IF(C76&gt;500,"⚠ Facture &gt; 500 € — à relancer","")</f>
      </c>
      <c r="I76">
        <f>=SUM($C$2:$C$120)-SUMIF($G$2:$G$120,"Oui",$C$2:$C$120)</f>
        <v>0</v>
      </c>
      <c r="J76">
        <f>=IF(I76&gt;500,"⚠ ENVOYER MESSAGE PAIEMENT","")</f>
      </c>
      <c r="K76" t="str">
        <v>Non</v>
      </c>
      <c r="L76" t="str">
        <v/>
      </c>
    </row>
    <row r="77">
      <c r="A77" t="str">
        <v/>
      </c>
      <c r="B77" t="str">
        <v/>
      </c>
      <c r="C77">
        <v>0</v>
      </c>
      <c r="D77">
        <v>0</v>
      </c>
      <c r="E77">
        <f>=SUM($D$2:D77)-SUM($C$2:C77)</f>
        <v>500</v>
      </c>
      <c r="F77">
        <f>=IF(E77&lt;=0,"⚠ SOLDE ÉPUISÉ — faire verser 500 €","")</f>
      </c>
      <c r="G77" t="str">
        <v>Non</v>
      </c>
      <c r="H77">
        <f>=IF(C77&gt;500,"⚠ Facture &gt; 500 € — à relancer","")</f>
      </c>
      <c r="I77">
        <f>=SUM($C$2:$C$120)-SUMIF($G$2:$G$120,"Oui",$C$2:$C$120)</f>
        <v>0</v>
      </c>
      <c r="J77">
        <f>=IF(I77&gt;500,"⚠ ENVOYER MESSAGE PAIEMENT","")</f>
      </c>
      <c r="K77" t="str">
        <v>Non</v>
      </c>
      <c r="L77" t="str">
        <v/>
      </c>
    </row>
    <row r="78">
      <c r="A78" t="str">
        <v/>
      </c>
      <c r="B78" t="str">
        <v/>
      </c>
      <c r="C78">
        <v>0</v>
      </c>
      <c r="D78">
        <v>0</v>
      </c>
      <c r="E78">
        <f>=SUM($D$2:D78)-SUM($C$2:C78)</f>
        <v>500</v>
      </c>
      <c r="F78">
        <f>=IF(E78&lt;=0,"⚠ SOLDE ÉPUISÉ — faire verser 500 €","")</f>
      </c>
      <c r="G78" t="str">
        <v>Non</v>
      </c>
      <c r="H78">
        <f>=IF(C78&gt;500,"⚠ Facture &gt; 500 € — à relancer","")</f>
      </c>
      <c r="I78">
        <f>=SUM($C$2:$C$120)-SUMIF($G$2:$G$120,"Oui",$C$2:$C$120)</f>
        <v>0</v>
      </c>
      <c r="J78">
        <f>=IF(I78&gt;500,"⚠ ENVOYER MESSAGE PAIEMENT","")</f>
      </c>
      <c r="K78" t="str">
        <v>Non</v>
      </c>
      <c r="L78" t="str">
        <v/>
      </c>
    </row>
    <row r="79">
      <c r="A79" t="str">
        <v/>
      </c>
      <c r="B79" t="str">
        <v/>
      </c>
      <c r="C79">
        <v>0</v>
      </c>
      <c r="D79">
        <v>0</v>
      </c>
      <c r="E79">
        <f>=SUM($D$2:D79)-SUM($C$2:C79)</f>
        <v>500</v>
      </c>
      <c r="F79">
        <f>=IF(E79&lt;=0,"⚠ SOLDE ÉPUISÉ — faire verser 500 €","")</f>
      </c>
      <c r="G79" t="str">
        <v>Non</v>
      </c>
      <c r="H79">
        <f>=IF(C79&gt;500,"⚠ Facture &gt; 500 € — à relancer","")</f>
      </c>
      <c r="I79">
        <f>=SUM($C$2:$C$120)-SUMIF($G$2:$G$120,"Oui",$C$2:$C$120)</f>
        <v>0</v>
      </c>
      <c r="J79">
        <f>=IF(I79&gt;500,"⚠ ENVOYER MESSAGE PAIEMENT","")</f>
      </c>
      <c r="K79" t="str">
        <v>Non</v>
      </c>
      <c r="L79" t="str">
        <v/>
      </c>
    </row>
    <row r="80">
      <c r="A80" t="str">
        <v/>
      </c>
      <c r="B80" t="str">
        <v/>
      </c>
      <c r="C80">
        <v>0</v>
      </c>
      <c r="D80">
        <v>0</v>
      </c>
      <c r="E80">
        <f>=SUM($D$2:D80)-SUM($C$2:C80)</f>
        <v>500</v>
      </c>
      <c r="F80">
        <f>=IF(E80&lt;=0,"⚠ SOLDE ÉPUISÉ — faire verser 500 €","")</f>
      </c>
      <c r="G80" t="str">
        <v>Non</v>
      </c>
      <c r="H80">
        <f>=IF(C80&gt;500,"⚠ Facture &gt; 500 € — à relancer","")</f>
      </c>
      <c r="I80">
        <f>=SUM($C$2:$C$120)-SUMIF($G$2:$G$120,"Oui",$C$2:$C$120)</f>
        <v>0</v>
      </c>
      <c r="J80">
        <f>=IF(I80&gt;500,"⚠ ENVOYER MESSAGE PAIEMENT","")</f>
      </c>
      <c r="K80" t="str">
        <v>Non</v>
      </c>
      <c r="L80" t="str">
        <v/>
      </c>
    </row>
    <row r="81">
      <c r="A81" t="str">
        <v/>
      </c>
      <c r="B81" t="str">
        <v/>
      </c>
      <c r="C81">
        <v>0</v>
      </c>
      <c r="D81">
        <v>0</v>
      </c>
      <c r="E81">
        <f>=SUM($D$2:D81)-SUM($C$2:C81)</f>
        <v>500</v>
      </c>
      <c r="F81">
        <f>=IF(E81&lt;=0,"⚠ SOLDE ÉPUISÉ — faire verser 500 €","")</f>
      </c>
      <c r="G81" t="str">
        <v>Non</v>
      </c>
      <c r="H81">
        <f>=IF(C81&gt;500,"⚠ Facture &gt; 500 € — à relancer","")</f>
      </c>
      <c r="I81">
        <f>=SUM($C$2:$C$120)-SUMIF($G$2:$G$120,"Oui",$C$2:$C$120)</f>
        <v>0</v>
      </c>
      <c r="J81">
        <f>=IF(I81&gt;500,"⚠ ENVOYER MESSAGE PAIEMENT","")</f>
      </c>
      <c r="K81" t="str">
        <v>Non</v>
      </c>
      <c r="L81" t="str">
        <v/>
      </c>
    </row>
    <row r="82">
      <c r="A82" t="str">
        <v/>
      </c>
      <c r="B82" t="str">
        <v/>
      </c>
      <c r="C82">
        <v>0</v>
      </c>
      <c r="D82">
        <v>0</v>
      </c>
      <c r="E82">
        <f>=SUM($D$2:D82)-SUM($C$2:C82)</f>
        <v>500</v>
      </c>
      <c r="F82">
        <f>=IF(E82&lt;=0,"⚠ SOLDE ÉPUISÉ — faire verser 500 €","")</f>
      </c>
      <c r="G82" t="str">
        <v>Non</v>
      </c>
      <c r="H82">
        <f>=IF(C82&gt;500,"⚠ Facture &gt; 500 € — à relancer","")</f>
      </c>
      <c r="I82">
        <f>=SUM($C$2:$C$120)-SUMIF($G$2:$G$120,"Oui",$C$2:$C$120)</f>
        <v>0</v>
      </c>
      <c r="J82">
        <f>=IF(I82&gt;500,"⚠ ENVOYER MESSAGE PAIEMENT","")</f>
      </c>
      <c r="K82" t="str">
        <v>Non</v>
      </c>
      <c r="L82" t="str">
        <v/>
      </c>
    </row>
    <row r="83">
      <c r="A83" t="str">
        <v/>
      </c>
      <c r="B83" t="str">
        <v/>
      </c>
      <c r="C83">
        <v>0</v>
      </c>
      <c r="D83">
        <v>0</v>
      </c>
      <c r="E83">
        <f>=SUM($D$2:D83)-SUM($C$2:C83)</f>
        <v>500</v>
      </c>
      <c r="F83">
        <f>=IF(E83&lt;=0,"⚠ SOLDE ÉPUISÉ — faire verser 500 €","")</f>
      </c>
      <c r="G83" t="str">
        <v>Non</v>
      </c>
      <c r="H83">
        <f>=IF(C83&gt;500,"⚠ Facture &gt; 500 € — à relancer","")</f>
      </c>
      <c r="I83">
        <f>=SUM($C$2:$C$120)-SUMIF($G$2:$G$120,"Oui",$C$2:$C$120)</f>
        <v>0</v>
      </c>
      <c r="J83">
        <f>=IF(I83&gt;500,"⚠ ENVOYER MESSAGE PAIEMENT","")</f>
      </c>
      <c r="K83" t="str">
        <v>Non</v>
      </c>
      <c r="L83" t="str">
        <v/>
      </c>
    </row>
    <row r="84">
      <c r="A84" t="str">
        <v/>
      </c>
      <c r="B84" t="str">
        <v/>
      </c>
      <c r="C84">
        <v>0</v>
      </c>
      <c r="D84">
        <v>0</v>
      </c>
      <c r="E84">
        <f>=SUM($D$2:D84)-SUM($C$2:C84)</f>
        <v>500</v>
      </c>
      <c r="F84">
        <f>=IF(E84&lt;=0,"⚠ SOLDE ÉPUISÉ — faire verser 500 €","")</f>
      </c>
      <c r="G84" t="str">
        <v>Non</v>
      </c>
      <c r="H84">
        <f>=IF(C84&gt;500,"⚠ Facture &gt; 500 € — à relancer","")</f>
      </c>
      <c r="I84">
        <f>=SUM($C$2:$C$120)-SUMIF($G$2:$G$120,"Oui",$C$2:$C$120)</f>
        <v>0</v>
      </c>
      <c r="J84">
        <f>=IF(I84&gt;500,"⚠ ENVOYER MESSAGE PAIEMENT","")</f>
      </c>
      <c r="K84" t="str">
        <v>Non</v>
      </c>
      <c r="L84" t="str">
        <v/>
      </c>
    </row>
    <row r="85">
      <c r="A85" t="str">
        <v/>
      </c>
      <c r="B85" t="str">
        <v/>
      </c>
      <c r="C85">
        <v>0</v>
      </c>
      <c r="D85">
        <v>0</v>
      </c>
      <c r="E85">
        <f>=SUM($D$2:D85)-SUM($C$2:C85)</f>
        <v>500</v>
      </c>
      <c r="F85">
        <f>=IF(E85&lt;=0,"⚠ SOLDE ÉPUISÉ — faire verser 500 €","")</f>
      </c>
      <c r="G85" t="str">
        <v>Non</v>
      </c>
      <c r="H85">
        <f>=IF(C85&gt;500,"⚠ Facture &gt; 500 € — à relancer","")</f>
      </c>
      <c r="I85">
        <f>=SUM($C$2:$C$120)-SUMIF($G$2:$G$120,"Oui",$C$2:$C$120)</f>
        <v>0</v>
      </c>
      <c r="J85">
        <f>=IF(I85&gt;500,"⚠ ENVOYER MESSAGE PAIEMENT","")</f>
      </c>
      <c r="K85" t="str">
        <v>Non</v>
      </c>
      <c r="L85" t="str">
        <v/>
      </c>
    </row>
    <row r="86">
      <c r="A86" t="str">
        <v/>
      </c>
      <c r="B86" t="str">
        <v/>
      </c>
      <c r="C86">
        <v>0</v>
      </c>
      <c r="D86">
        <v>0</v>
      </c>
      <c r="E86">
        <f>=SUM($D$2:D86)-SUM($C$2:C86)</f>
        <v>500</v>
      </c>
      <c r="F86">
        <f>=IF(E86&lt;=0,"⚠ SOLDE ÉPUISÉ — faire verser 500 €","")</f>
      </c>
      <c r="G86" t="str">
        <v>Non</v>
      </c>
      <c r="H86">
        <f>=IF(C86&gt;500,"⚠ Facture &gt; 500 € — à relancer","")</f>
      </c>
      <c r="I86">
        <f>=SUM($C$2:$C$120)-SUMIF($G$2:$G$120,"Oui",$C$2:$C$120)</f>
        <v>0</v>
      </c>
      <c r="J86">
        <f>=IF(I86&gt;500,"⚠ ENVOYER MESSAGE PAIEMENT","")</f>
      </c>
      <c r="K86" t="str">
        <v>Non</v>
      </c>
      <c r="L86" t="str">
        <v/>
      </c>
    </row>
    <row r="87">
      <c r="A87" t="str">
        <v/>
      </c>
      <c r="B87" t="str">
        <v/>
      </c>
      <c r="C87">
        <v>0</v>
      </c>
      <c r="D87">
        <v>0</v>
      </c>
      <c r="E87">
        <f>=SUM($D$2:D87)-SUM($C$2:C87)</f>
        <v>500</v>
      </c>
      <c r="F87">
        <f>=IF(E87&lt;=0,"⚠ SOLDE ÉPUISÉ — faire verser 500 €","")</f>
      </c>
      <c r="G87" t="str">
        <v>Non</v>
      </c>
      <c r="H87">
        <f>=IF(C87&gt;500,"⚠ Facture &gt; 500 € — à relancer","")</f>
      </c>
      <c r="I87">
        <f>=SUM($C$2:$C$120)-SUMIF($G$2:$G$120,"Oui",$C$2:$C$120)</f>
        <v>0</v>
      </c>
      <c r="J87">
        <f>=IF(I87&gt;500,"⚠ ENVOYER MESSAGE PAIEMENT","")</f>
      </c>
      <c r="K87" t="str">
        <v>Non</v>
      </c>
      <c r="L87" t="str">
        <v/>
      </c>
    </row>
    <row r="88">
      <c r="A88" t="str">
        <v/>
      </c>
      <c r="B88" t="str">
        <v/>
      </c>
      <c r="C88">
        <v>0</v>
      </c>
      <c r="D88">
        <v>0</v>
      </c>
      <c r="E88">
        <f>=SUM($D$2:D88)-SUM($C$2:C88)</f>
        <v>500</v>
      </c>
      <c r="F88">
        <f>=IF(E88&lt;=0,"⚠ SOLDE ÉPUISÉ — faire verser 500 €","")</f>
      </c>
      <c r="G88" t="str">
        <v>Non</v>
      </c>
      <c r="H88">
        <f>=IF(C88&gt;500,"⚠ Facture &gt; 500 € — à relancer","")</f>
      </c>
      <c r="I88">
        <f>=SUM($C$2:$C$120)-SUMIF($G$2:$G$120,"Oui",$C$2:$C$120)</f>
        <v>0</v>
      </c>
      <c r="J88">
        <f>=IF(I88&gt;500,"⚠ ENVOYER MESSAGE PAIEMENT","")</f>
      </c>
      <c r="K88" t="str">
        <v>Non</v>
      </c>
      <c r="L88" t="str">
        <v/>
      </c>
    </row>
    <row r="89">
      <c r="A89" t="str">
        <v/>
      </c>
      <c r="B89" t="str">
        <v/>
      </c>
      <c r="C89">
        <v>0</v>
      </c>
      <c r="D89">
        <v>0</v>
      </c>
      <c r="E89">
        <f>=SUM($D$2:D89)-SUM($C$2:C89)</f>
        <v>500</v>
      </c>
      <c r="F89">
        <f>=IF(E89&lt;=0,"⚠ SOLDE ÉPUISÉ — faire verser 500 €","")</f>
      </c>
      <c r="G89" t="str">
        <v>Non</v>
      </c>
      <c r="H89">
        <f>=IF(C89&gt;500,"⚠ Facture &gt; 500 € — à relancer","")</f>
      </c>
      <c r="I89">
        <f>=SUM($C$2:$C$120)-SUMIF($G$2:$G$120,"Oui",$C$2:$C$120)</f>
        <v>0</v>
      </c>
      <c r="J89">
        <f>=IF(I89&gt;500,"⚠ ENVOYER MESSAGE PAIEMENT","")</f>
      </c>
      <c r="K89" t="str">
        <v>Non</v>
      </c>
      <c r="L89" t="str">
        <v/>
      </c>
    </row>
    <row r="90">
      <c r="A90" t="str">
        <v/>
      </c>
      <c r="B90" t="str">
        <v/>
      </c>
      <c r="C90">
        <v>0</v>
      </c>
      <c r="D90">
        <v>0</v>
      </c>
      <c r="E90">
        <f>=SUM($D$2:D90)-SUM($C$2:C90)</f>
        <v>500</v>
      </c>
      <c r="F90">
        <f>=IF(E90&lt;=0,"⚠ SOLDE ÉPUISÉ — faire verser 500 €","")</f>
      </c>
      <c r="G90" t="str">
        <v>Non</v>
      </c>
      <c r="H90">
        <f>=IF(C90&gt;500,"⚠ Facture &gt; 500 € — à relancer","")</f>
      </c>
      <c r="I90">
        <f>=SUM($C$2:$C$120)-SUMIF($G$2:$G$120,"Oui",$C$2:$C$120)</f>
        <v>0</v>
      </c>
      <c r="J90">
        <f>=IF(I90&gt;500,"⚠ ENVOYER MESSAGE PAIEMENT","")</f>
      </c>
      <c r="K90" t="str">
        <v>Non</v>
      </c>
      <c r="L90" t="str">
        <v/>
      </c>
    </row>
    <row r="91">
      <c r="A91" t="str">
        <v/>
      </c>
      <c r="B91" t="str">
        <v/>
      </c>
      <c r="C91">
        <v>0</v>
      </c>
      <c r="D91">
        <v>0</v>
      </c>
      <c r="E91">
        <f>=SUM($D$2:D91)-SUM($C$2:C91)</f>
        <v>500</v>
      </c>
      <c r="F91">
        <f>=IF(E91&lt;=0,"⚠ SOLDE ÉPUISÉ — faire verser 500 €","")</f>
      </c>
      <c r="G91" t="str">
        <v>Non</v>
      </c>
      <c r="H91">
        <f>=IF(C91&gt;500,"⚠ Facture &gt; 500 € — à relancer","")</f>
      </c>
      <c r="I91">
        <f>=SUM($C$2:$C$120)-SUMIF($G$2:$G$120,"Oui",$C$2:$C$120)</f>
        <v>0</v>
      </c>
      <c r="J91">
        <f>=IF(I91&gt;500,"⚠ ENVOYER MESSAGE PAIEMENT","")</f>
      </c>
      <c r="K91" t="str">
        <v>Non</v>
      </c>
      <c r="L91" t="str">
        <v/>
      </c>
    </row>
    <row r="92">
      <c r="A92" t="str">
        <v/>
      </c>
      <c r="B92" t="str">
        <v/>
      </c>
      <c r="C92">
        <v>0</v>
      </c>
      <c r="D92">
        <v>0</v>
      </c>
      <c r="E92">
        <f>=SUM($D$2:D92)-SUM($C$2:C92)</f>
        <v>500</v>
      </c>
      <c r="F92">
        <f>=IF(E92&lt;=0,"⚠ SOLDE ÉPUISÉ — faire verser 500 €","")</f>
      </c>
      <c r="G92" t="str">
        <v>Non</v>
      </c>
      <c r="H92">
        <f>=IF(C92&gt;500,"⚠ Facture &gt; 500 € — à relancer","")</f>
      </c>
      <c r="I92">
        <f>=SUM($C$2:$C$120)-SUMIF($G$2:$G$120,"Oui",$C$2:$C$120)</f>
        <v>0</v>
      </c>
      <c r="J92">
        <f>=IF(I92&gt;500,"⚠ ENVOYER MESSAGE PAIEMENT","")</f>
      </c>
      <c r="K92" t="str">
        <v>Non</v>
      </c>
      <c r="L92" t="str">
        <v/>
      </c>
    </row>
    <row r="93">
      <c r="A93" t="str">
        <v/>
      </c>
      <c r="B93" t="str">
        <v/>
      </c>
      <c r="C93">
        <v>0</v>
      </c>
      <c r="D93">
        <v>0</v>
      </c>
      <c r="E93">
        <f>=SUM($D$2:D93)-SUM($C$2:C93)</f>
        <v>500</v>
      </c>
      <c r="F93">
        <f>=IF(E93&lt;=0,"⚠ SOLDE ÉPUISÉ — faire verser 500 €","")</f>
      </c>
      <c r="G93" t="str">
        <v>Non</v>
      </c>
      <c r="H93">
        <f>=IF(C93&gt;500,"⚠ Facture &gt; 500 € — à relancer","")</f>
      </c>
      <c r="I93">
        <f>=SUM($C$2:$C$120)-SUMIF($G$2:$G$120,"Oui",$C$2:$C$120)</f>
        <v>0</v>
      </c>
      <c r="J93">
        <f>=IF(I93&gt;500,"⚠ ENVOYER MESSAGE PAIEMENT","")</f>
      </c>
      <c r="K93" t="str">
        <v>Non</v>
      </c>
      <c r="L93" t="str">
        <v/>
      </c>
    </row>
    <row r="94">
      <c r="A94" t="str">
        <v/>
      </c>
      <c r="B94" t="str">
        <v/>
      </c>
      <c r="C94">
        <v>0</v>
      </c>
      <c r="D94">
        <v>0</v>
      </c>
      <c r="E94">
        <f>=SUM($D$2:D94)-SUM($C$2:C94)</f>
        <v>500</v>
      </c>
      <c r="F94">
        <f>=IF(E94&lt;=0,"⚠ SOLDE ÉPUISÉ — faire verser 500 €","")</f>
      </c>
      <c r="G94" t="str">
        <v>Non</v>
      </c>
      <c r="H94">
        <f>=IF(C94&gt;500,"⚠ Facture &gt; 500 € — à relancer","")</f>
      </c>
      <c r="I94">
        <f>=SUM($C$2:$C$120)-SUMIF($G$2:$G$120,"Oui",$C$2:$C$120)</f>
        <v>0</v>
      </c>
      <c r="J94">
        <f>=IF(I94&gt;500,"⚠ ENVOYER MESSAGE PAIEMENT","")</f>
      </c>
      <c r="K94" t="str">
        <v>Non</v>
      </c>
      <c r="L94" t="str">
        <v/>
      </c>
    </row>
    <row r="95">
      <c r="A95" t="str">
        <v/>
      </c>
      <c r="B95" t="str">
        <v/>
      </c>
      <c r="C95">
        <v>0</v>
      </c>
      <c r="D95">
        <v>0</v>
      </c>
      <c r="E95">
        <f>=SUM($D$2:D95)-SUM($C$2:C95)</f>
        <v>500</v>
      </c>
      <c r="F95">
        <f>=IF(E95&lt;=0,"⚠ SOLDE ÉPUISÉ — faire verser 500 €","")</f>
      </c>
      <c r="G95" t="str">
        <v>Non</v>
      </c>
      <c r="H95">
        <f>=IF(C95&gt;500,"⚠ Facture &gt; 500 € — à relancer","")</f>
      </c>
      <c r="I95">
        <f>=SUM($C$2:$C$120)-SUMIF($G$2:$G$120,"Oui",$C$2:$C$120)</f>
        <v>0</v>
      </c>
      <c r="J95">
        <f>=IF(I95&gt;500,"⚠ ENVOYER MESSAGE PAIEMENT","")</f>
      </c>
      <c r="K95" t="str">
        <v>Non</v>
      </c>
      <c r="L95" t="str">
        <v/>
      </c>
    </row>
    <row r="96">
      <c r="A96" t="str">
        <v/>
      </c>
      <c r="B96" t="str">
        <v/>
      </c>
      <c r="C96">
        <v>0</v>
      </c>
      <c r="D96">
        <v>0</v>
      </c>
      <c r="E96">
        <f>=SUM($D$2:D96)-SUM($C$2:C96)</f>
        <v>500</v>
      </c>
      <c r="F96">
        <f>=IF(E96&lt;=0,"⚠ SOLDE ÉPUISÉ — faire verser 500 €","")</f>
      </c>
      <c r="G96" t="str">
        <v>Non</v>
      </c>
      <c r="H96">
        <f>=IF(C96&gt;500,"⚠ Facture &gt; 500 € — à relancer","")</f>
      </c>
      <c r="I96">
        <f>=SUM($C$2:$C$120)-SUMIF($G$2:$G$120,"Oui",$C$2:$C$120)</f>
        <v>0</v>
      </c>
      <c r="J96">
        <f>=IF(I96&gt;500,"⚠ ENVOYER MESSAGE PAIEMENT","")</f>
      </c>
      <c r="K96" t="str">
        <v>Non</v>
      </c>
      <c r="L96" t="str">
        <v/>
      </c>
    </row>
    <row r="97">
      <c r="A97" t="str">
        <v/>
      </c>
      <c r="B97" t="str">
        <v/>
      </c>
      <c r="C97">
        <v>0</v>
      </c>
      <c r="D97">
        <v>0</v>
      </c>
      <c r="E97">
        <f>=SUM($D$2:D97)-SUM($C$2:C97)</f>
        <v>500</v>
      </c>
      <c r="F97">
        <f>=IF(E97&lt;=0,"⚠ SOLDE ÉPUISÉ — faire verser 500 €","")</f>
      </c>
      <c r="G97" t="str">
        <v>Non</v>
      </c>
      <c r="H97">
        <f>=IF(C97&gt;500,"⚠ Facture &gt; 500 € — à relancer","")</f>
      </c>
      <c r="I97">
        <f>=SUM($C$2:$C$120)-SUMIF($G$2:$G$120,"Oui",$C$2:$C$120)</f>
        <v>0</v>
      </c>
      <c r="J97">
        <f>=IF(I97&gt;500,"⚠ ENVOYER MESSAGE PAIEMENT","")</f>
      </c>
      <c r="K97" t="str">
        <v>Non</v>
      </c>
      <c r="L97" t="str">
        <v/>
      </c>
    </row>
    <row r="98">
      <c r="A98" t="str">
        <v/>
      </c>
      <c r="B98" t="str">
        <v/>
      </c>
      <c r="C98">
        <v>0</v>
      </c>
      <c r="D98">
        <v>0</v>
      </c>
      <c r="E98">
        <f>=SUM($D$2:D98)-SUM($C$2:C98)</f>
        <v>500</v>
      </c>
      <c r="F98">
        <f>=IF(E98&lt;=0,"⚠ SOLDE ÉPUISÉ — faire verser 500 €","")</f>
      </c>
      <c r="G98" t="str">
        <v>Non</v>
      </c>
      <c r="H98">
        <f>=IF(C98&gt;500,"⚠ Facture &gt; 500 € — à relancer","")</f>
      </c>
      <c r="I98">
        <f>=SUM($C$2:$C$120)-SUMIF($G$2:$G$120,"Oui",$C$2:$C$120)</f>
        <v>0</v>
      </c>
      <c r="J98">
        <f>=IF(I98&gt;500,"⚠ ENVOYER MESSAGE PAIEMENT","")</f>
      </c>
      <c r="K98" t="str">
        <v>Non</v>
      </c>
      <c r="L98" t="str">
        <v/>
      </c>
    </row>
    <row r="99">
      <c r="A99" t="str">
        <v/>
      </c>
      <c r="B99" t="str">
        <v/>
      </c>
      <c r="C99">
        <v>0</v>
      </c>
      <c r="D99">
        <v>0</v>
      </c>
      <c r="E99">
        <f>=SUM($D$2:D99)-SUM($C$2:C99)</f>
        <v>500</v>
      </c>
      <c r="F99">
        <f>=IF(E99&lt;=0,"⚠ SOLDE ÉPUISÉ — faire verser 500 €","")</f>
      </c>
      <c r="G99" t="str">
        <v>Non</v>
      </c>
      <c r="H99">
        <f>=IF(C99&gt;500,"⚠ Facture &gt; 500 € — à relancer","")</f>
      </c>
      <c r="I99">
        <f>=SUM($C$2:$C$120)-SUMIF($G$2:$G$120,"Oui",$C$2:$C$120)</f>
        <v>0</v>
      </c>
      <c r="J99">
        <f>=IF(I99&gt;500,"⚠ ENVOYER MESSAGE PAIEMENT","")</f>
      </c>
      <c r="K99" t="str">
        <v>Non</v>
      </c>
      <c r="L99" t="str">
        <v/>
      </c>
    </row>
    <row r="100">
      <c r="A100" t="str">
        <v/>
      </c>
      <c r="B100" t="str">
        <v/>
      </c>
      <c r="C100">
        <v>0</v>
      </c>
      <c r="D100">
        <v>0</v>
      </c>
      <c r="E100">
        <f>=SUM($D$2:D100)-SUM($C$2:C100)</f>
        <v>500</v>
      </c>
      <c r="F100">
        <f>=IF(E100&lt;=0,"⚠ SOLDE ÉPUISÉ — faire verser 500 €","")</f>
      </c>
      <c r="G100" t="str">
        <v>Non</v>
      </c>
      <c r="H100">
        <f>=IF(C100&gt;500,"⚠ Facture &gt; 500 € — à relancer","")</f>
      </c>
      <c r="I100">
        <f>=SUM($C$2:$C$120)-SUMIF($G$2:$G$120,"Oui",$C$2:$C$120)</f>
        <v>0</v>
      </c>
      <c r="J100">
        <f>=IF(I100&gt;500,"⚠ ENVOYER MESSAGE PAIEMENT","")</f>
      </c>
      <c r="K100" t="str">
        <v>Non</v>
      </c>
      <c r="L100" t="str">
        <v/>
      </c>
    </row>
    <row r="101">
      <c r="A101" t="str">
        <v/>
      </c>
      <c r="B101" t="str">
        <v/>
      </c>
      <c r="C101">
        <v>0</v>
      </c>
      <c r="D101">
        <v>0</v>
      </c>
      <c r="E101">
        <f>=SUM($D$2:D101)-SUM($C$2:C101)</f>
        <v>500</v>
      </c>
      <c r="F101">
        <f>=IF(E101&lt;=0,"⚠ SOLDE ÉPUISÉ — faire verser 500 €","")</f>
      </c>
      <c r="G101" t="str">
        <v>Non</v>
      </c>
      <c r="H101">
        <f>=IF(C101&gt;500,"⚠ Facture &gt; 500 € — à relancer","")</f>
      </c>
      <c r="I101">
        <f>=SUM($C$2:$C$120)-SUMIF($G$2:$G$120,"Oui",$C$2:$C$120)</f>
        <v>0</v>
      </c>
      <c r="J101">
        <f>=IF(I101&gt;500,"⚠ ENVOYER MESSAGE PAIEMENT","")</f>
      </c>
      <c r="K101" t="str">
        <v>Non</v>
      </c>
      <c r="L101" t="str">
        <v/>
      </c>
    </row>
    <row r="102">
      <c r="A102" t="str">
        <v/>
      </c>
      <c r="B102" t="str">
        <v/>
      </c>
      <c r="C102">
        <v>0</v>
      </c>
      <c r="D102">
        <v>0</v>
      </c>
      <c r="E102">
        <f>=SUM($D$2:D102)-SUM($C$2:C102)</f>
        <v>500</v>
      </c>
      <c r="F102">
        <f>=IF(E102&lt;=0,"⚠ SOLDE ÉPUISÉ — faire verser 500 €","")</f>
      </c>
      <c r="G102" t="str">
        <v>Non</v>
      </c>
      <c r="H102">
        <f>=IF(C102&gt;500,"⚠ Facture &gt; 500 € — à relancer","")</f>
      </c>
      <c r="I102">
        <f>=SUM($C$2:$C$120)-SUMIF($G$2:$G$120,"Oui",$C$2:$C$120)</f>
        <v>0</v>
      </c>
      <c r="J102">
        <f>=IF(I102&gt;500,"⚠ ENVOYER MESSAGE PAIEMENT","")</f>
      </c>
      <c r="K102" t="str">
        <v>Non</v>
      </c>
      <c r="L102" t="str">
        <v/>
      </c>
    </row>
    <row r="103">
      <c r="A103" t="str">
        <v/>
      </c>
      <c r="B103" t="str">
        <v/>
      </c>
      <c r="C103">
        <v>0</v>
      </c>
      <c r="D103">
        <v>0</v>
      </c>
      <c r="E103">
        <f>=SUM($D$2:D103)-SUM($C$2:C103)</f>
        <v>500</v>
      </c>
      <c r="F103">
        <f>=IF(E103&lt;=0,"⚠ SOLDE ÉPUISÉ — faire verser 500 €","")</f>
      </c>
      <c r="G103" t="str">
        <v>Non</v>
      </c>
      <c r="H103">
        <f>=IF(C103&gt;500,"⚠ Facture &gt; 500 € — à relancer","")</f>
      </c>
      <c r="I103">
        <f>=SUM($C$2:$C$120)-SUMIF($G$2:$G$120,"Oui",$C$2:$C$120)</f>
        <v>0</v>
      </c>
      <c r="J103">
        <f>=IF(I103&gt;500,"⚠ ENVOYER MESSAGE PAIEMENT","")</f>
      </c>
      <c r="K103" t="str">
        <v>Non</v>
      </c>
      <c r="L103" t="str">
        <v/>
      </c>
    </row>
    <row r="104">
      <c r="A104" t="str">
        <v/>
      </c>
      <c r="B104" t="str">
        <v/>
      </c>
      <c r="C104">
        <v>0</v>
      </c>
      <c r="D104">
        <v>0</v>
      </c>
      <c r="E104">
        <f>=SUM($D$2:D104)-SUM($C$2:C104)</f>
        <v>500</v>
      </c>
      <c r="F104">
        <f>=IF(E104&lt;=0,"⚠ SOLDE ÉPUISÉ — faire verser 500 €","")</f>
      </c>
      <c r="G104" t="str">
        <v>Non</v>
      </c>
      <c r="H104">
        <f>=IF(C104&gt;500,"⚠ Facture &gt; 500 € — à relancer","")</f>
      </c>
      <c r="I104">
        <f>=SUM($C$2:$C$120)-SUMIF($G$2:$G$120,"Oui",$C$2:$C$120)</f>
        <v>0</v>
      </c>
      <c r="J104">
        <f>=IF(I104&gt;500,"⚠ ENVOYER MESSAGE PAIEMENT","")</f>
      </c>
      <c r="K104" t="str">
        <v>Non</v>
      </c>
      <c r="L104" t="str">
        <v/>
      </c>
    </row>
    <row r="105">
      <c r="A105" t="str">
        <v/>
      </c>
      <c r="B105" t="str">
        <v/>
      </c>
      <c r="C105">
        <v>0</v>
      </c>
      <c r="D105">
        <v>0</v>
      </c>
      <c r="E105">
        <f>=SUM($D$2:D105)-SUM($C$2:C105)</f>
        <v>500</v>
      </c>
      <c r="F105">
        <f>=IF(E105&lt;=0,"⚠ SOLDE ÉPUISÉ — faire verser 500 €","")</f>
      </c>
      <c r="G105" t="str">
        <v>Non</v>
      </c>
      <c r="H105">
        <f>=IF(C105&gt;500,"⚠ Facture &gt; 500 € — à relancer","")</f>
      </c>
      <c r="I105">
        <f>=SUM($C$2:$C$120)-SUMIF($G$2:$G$120,"Oui",$C$2:$C$120)</f>
        <v>0</v>
      </c>
      <c r="J105">
        <f>=IF(I105&gt;500,"⚠ ENVOYER MESSAGE PAIEMENT","")</f>
      </c>
      <c r="K105" t="str">
        <v>Non</v>
      </c>
      <c r="L105" t="str">
        <v/>
      </c>
    </row>
    <row r="106">
      <c r="A106" t="str">
        <v/>
      </c>
      <c r="B106" t="str">
        <v/>
      </c>
      <c r="C106">
        <v>0</v>
      </c>
      <c r="D106">
        <v>0</v>
      </c>
      <c r="E106">
        <f>=SUM($D$2:D106)-SUM($C$2:C106)</f>
        <v>500</v>
      </c>
      <c r="F106">
        <f>=IF(E106&lt;=0,"⚠ SOLDE ÉPUISÉ — faire verser 500 €","")</f>
      </c>
      <c r="G106" t="str">
        <v>Non</v>
      </c>
      <c r="H106">
        <f>=IF(C106&gt;500,"⚠ Facture &gt; 500 € — à relancer","")</f>
      </c>
      <c r="I106">
        <f>=SUM($C$2:$C$120)-SUMIF($G$2:$G$120,"Oui",$C$2:$C$120)</f>
        <v>0</v>
      </c>
      <c r="J106">
        <f>=IF(I106&gt;500,"⚠ ENVOYER MESSAGE PAIEMENT","")</f>
      </c>
      <c r="K106" t="str">
        <v>Non</v>
      </c>
      <c r="L106" t="str">
        <v/>
      </c>
    </row>
    <row r="107">
      <c r="A107" t="str">
        <v/>
      </c>
      <c r="B107" t="str">
        <v/>
      </c>
      <c r="C107">
        <v>0</v>
      </c>
      <c r="D107">
        <v>0</v>
      </c>
      <c r="E107">
        <f>=SUM($D$2:D107)-SUM($C$2:C107)</f>
        <v>500</v>
      </c>
      <c r="F107">
        <f>=IF(E107&lt;=0,"⚠ SOLDE ÉPUISÉ — faire verser 500 €","")</f>
      </c>
      <c r="G107" t="str">
        <v>Non</v>
      </c>
      <c r="H107">
        <f>=IF(C107&gt;500,"⚠ Facture &gt; 500 € — à relancer","")</f>
      </c>
      <c r="I107">
        <f>=SUM($C$2:$C$120)-SUMIF($G$2:$G$120,"Oui",$C$2:$C$120)</f>
        <v>0</v>
      </c>
      <c r="J107">
        <f>=IF(I107&gt;500,"⚠ ENVOYER MESSAGE PAIEMENT","")</f>
      </c>
      <c r="K107" t="str">
        <v>Non</v>
      </c>
      <c r="L107" t="str">
        <v/>
      </c>
    </row>
    <row r="108">
      <c r="A108" t="str">
        <v/>
      </c>
      <c r="B108" t="str">
        <v/>
      </c>
      <c r="C108">
        <v>0</v>
      </c>
      <c r="D108">
        <v>0</v>
      </c>
      <c r="E108">
        <f>=SUM($D$2:D108)-SUM($C$2:C108)</f>
        <v>500</v>
      </c>
      <c r="F108">
        <f>=IF(E108&lt;=0,"⚠ SOLDE ÉPUISÉ — faire verser 500 €","")</f>
      </c>
      <c r="G108" t="str">
        <v>Non</v>
      </c>
      <c r="H108">
        <f>=IF(C108&gt;500,"⚠ Facture &gt; 500 € — à relancer","")</f>
      </c>
      <c r="I108">
        <f>=SUM($C$2:$C$120)-SUMIF($G$2:$G$120,"Oui",$C$2:$C$120)</f>
        <v>0</v>
      </c>
      <c r="J108">
        <f>=IF(I108&gt;500,"⚠ ENVOYER MESSAGE PAIEMENT","")</f>
      </c>
      <c r="K108" t="str">
        <v>Non</v>
      </c>
      <c r="L108" t="str">
        <v/>
      </c>
    </row>
    <row r="109">
      <c r="A109" t="str">
        <v/>
      </c>
      <c r="B109" t="str">
        <v/>
      </c>
      <c r="C109">
        <v>0</v>
      </c>
      <c r="D109">
        <v>0</v>
      </c>
      <c r="E109">
        <f>=SUM($D$2:D109)-SUM($C$2:C109)</f>
        <v>500</v>
      </c>
      <c r="F109">
        <f>=IF(E109&lt;=0,"⚠ SOLDE ÉPUISÉ — faire verser 500 €","")</f>
      </c>
      <c r="G109" t="str">
        <v>Non</v>
      </c>
      <c r="H109">
        <f>=IF(C109&gt;500,"⚠ Facture &gt; 500 € — à relancer","")</f>
      </c>
      <c r="I109">
        <f>=SUM($C$2:$C$120)-SUMIF($G$2:$G$120,"Oui",$C$2:$C$120)</f>
        <v>0</v>
      </c>
      <c r="J109">
        <f>=IF(I109&gt;500,"⚠ ENVOYER MESSAGE PAIEMENT","")</f>
      </c>
      <c r="K109" t="str">
        <v>Non</v>
      </c>
      <c r="L109" t="str">
        <v/>
      </c>
    </row>
    <row r="110">
      <c r="A110" t="str">
        <v/>
      </c>
      <c r="B110" t="str">
        <v/>
      </c>
      <c r="C110">
        <v>0</v>
      </c>
      <c r="D110">
        <v>0</v>
      </c>
      <c r="E110">
        <f>=SUM($D$2:D110)-SUM($C$2:C110)</f>
        <v>500</v>
      </c>
      <c r="F110">
        <f>=IF(E110&lt;=0,"⚠ SOLDE ÉPUISÉ — faire verser 500 €","")</f>
      </c>
      <c r="G110" t="str">
        <v>Non</v>
      </c>
      <c r="H110">
        <f>=IF(C110&gt;500,"⚠ Facture &gt; 500 € — à relancer","")</f>
      </c>
      <c r="I110">
        <f>=SUM($C$2:$C$120)-SUMIF($G$2:$G$120,"Oui",$C$2:$C$120)</f>
        <v>0</v>
      </c>
      <c r="J110">
        <f>=IF(I110&gt;500,"⚠ ENVOYER MESSAGE PAIEMENT","")</f>
      </c>
      <c r="K110" t="str">
        <v>Non</v>
      </c>
      <c r="L110" t="str">
        <v/>
      </c>
    </row>
    <row r="111">
      <c r="A111" t="str">
        <v/>
      </c>
      <c r="B111" t="str">
        <v/>
      </c>
      <c r="C111">
        <v>0</v>
      </c>
      <c r="D111">
        <v>0</v>
      </c>
      <c r="E111">
        <f>=SUM($D$2:D111)-SUM($C$2:C111)</f>
        <v>500</v>
      </c>
      <c r="F111">
        <f>=IF(E111&lt;=0,"⚠ SOLDE ÉPUISÉ — faire verser 500 €","")</f>
      </c>
      <c r="G111" t="str">
        <v>Non</v>
      </c>
      <c r="H111">
        <f>=IF(C111&gt;500,"⚠ Facture &gt; 500 € — à relancer","")</f>
      </c>
      <c r="I111">
        <f>=SUM($C$2:$C$120)-SUMIF($G$2:$G$120,"Oui",$C$2:$C$120)</f>
        <v>0</v>
      </c>
      <c r="J111">
        <f>=IF(I111&gt;500,"⚠ ENVOYER MESSAGE PAIEMENT","")</f>
      </c>
      <c r="K111" t="str">
        <v>Non</v>
      </c>
      <c r="L111" t="str">
        <v/>
      </c>
    </row>
    <row r="112">
      <c r="A112" t="str">
        <v/>
      </c>
      <c r="B112" t="str">
        <v/>
      </c>
      <c r="C112">
        <v>0</v>
      </c>
      <c r="D112">
        <v>0</v>
      </c>
      <c r="E112">
        <f>=SUM($D$2:D112)-SUM($C$2:C112)</f>
        <v>500</v>
      </c>
      <c r="F112">
        <f>=IF(E112&lt;=0,"⚠ SOLDE ÉPUISÉ — faire verser 500 €","")</f>
      </c>
      <c r="G112" t="str">
        <v>Non</v>
      </c>
      <c r="H112">
        <f>=IF(C112&gt;500,"⚠ Facture &gt; 500 € — à relancer","")</f>
      </c>
      <c r="I112">
        <f>=SUM($C$2:$C$120)-SUMIF($G$2:$G$120,"Oui",$C$2:$C$120)</f>
        <v>0</v>
      </c>
      <c r="J112">
        <f>=IF(I112&gt;500,"⚠ ENVOYER MESSAGE PAIEMENT","")</f>
      </c>
      <c r="K112" t="str">
        <v>Non</v>
      </c>
      <c r="L112" t="str">
        <v/>
      </c>
    </row>
    <row r="113">
      <c r="A113" t="str">
        <v/>
      </c>
      <c r="B113" t="str">
        <v/>
      </c>
      <c r="C113">
        <v>0</v>
      </c>
      <c r="D113">
        <v>0</v>
      </c>
      <c r="E113">
        <f>=SUM($D$2:D113)-SUM($C$2:C113)</f>
        <v>500</v>
      </c>
      <c r="F113">
        <f>=IF(E113&lt;=0,"⚠ SOLDE ÉPUISÉ — faire verser 500 €","")</f>
      </c>
      <c r="G113" t="str">
        <v>Non</v>
      </c>
      <c r="H113">
        <f>=IF(C113&gt;500,"⚠ Facture &gt; 500 € — à relancer","")</f>
      </c>
      <c r="I113">
        <f>=SUM($C$2:$C$120)-SUMIF($G$2:$G$120,"Oui",$C$2:$C$120)</f>
        <v>0</v>
      </c>
      <c r="J113">
        <f>=IF(I113&gt;500,"⚠ ENVOYER MESSAGE PAIEMENT","")</f>
      </c>
      <c r="K113" t="str">
        <v>Non</v>
      </c>
      <c r="L113" t="str">
        <v/>
      </c>
    </row>
    <row r="114">
      <c r="A114" t="str">
        <v/>
      </c>
      <c r="B114" t="str">
        <v/>
      </c>
      <c r="C114">
        <v>0</v>
      </c>
      <c r="D114">
        <v>0</v>
      </c>
      <c r="E114">
        <f>=SUM($D$2:D114)-SUM($C$2:C114)</f>
        <v>500</v>
      </c>
      <c r="F114">
        <f>=IF(E114&lt;=0,"⚠ SOLDE ÉPUISÉ — faire verser 500 €","")</f>
      </c>
      <c r="G114" t="str">
        <v>Non</v>
      </c>
      <c r="H114">
        <f>=IF(C114&gt;500,"⚠ Facture &gt; 500 € — à relancer","")</f>
      </c>
      <c r="I114">
        <f>=SUM($C$2:$C$120)-SUMIF($G$2:$G$120,"Oui",$C$2:$C$120)</f>
        <v>0</v>
      </c>
      <c r="J114">
        <f>=IF(I114&gt;500,"⚠ ENVOYER MESSAGE PAIEMENT","")</f>
      </c>
      <c r="K114" t="str">
        <v>Non</v>
      </c>
      <c r="L114" t="str">
        <v/>
      </c>
    </row>
    <row r="115">
      <c r="A115" t="str">
        <v/>
      </c>
      <c r="B115" t="str">
        <v/>
      </c>
      <c r="C115">
        <v>0</v>
      </c>
      <c r="D115">
        <v>0</v>
      </c>
      <c r="E115">
        <f>=SUM($D$2:D115)-SUM($C$2:C115)</f>
        <v>500</v>
      </c>
      <c r="F115">
        <f>=IF(E115&lt;=0,"⚠ SOLDE ÉPUISÉ — faire verser 500 €","")</f>
      </c>
      <c r="G115" t="str">
        <v>Non</v>
      </c>
      <c r="H115">
        <f>=IF(C115&gt;500,"⚠ Facture &gt; 500 € — à relancer","")</f>
      </c>
      <c r="I115">
        <f>=SUM($C$2:$C$120)-SUMIF($G$2:$G$120,"Oui",$C$2:$C$120)</f>
        <v>0</v>
      </c>
      <c r="J115">
        <f>=IF(I115&gt;500,"⚠ ENVOYER MESSAGE PAIEMENT","")</f>
      </c>
      <c r="K115" t="str">
        <v>Non</v>
      </c>
      <c r="L115" t="str">
        <v/>
      </c>
    </row>
    <row r="116">
      <c r="A116" t="str">
        <v/>
      </c>
      <c r="B116" t="str">
        <v/>
      </c>
      <c r="C116">
        <v>0</v>
      </c>
      <c r="D116">
        <v>0</v>
      </c>
      <c r="E116">
        <f>=SUM($D$2:D116)-SUM($C$2:C116)</f>
        <v>500</v>
      </c>
      <c r="F116">
        <f>=IF(E116&lt;=0,"⚠ SOLDE ÉPUISÉ — faire verser 500 €","")</f>
      </c>
      <c r="G116" t="str">
        <v>Non</v>
      </c>
      <c r="H116">
        <f>=IF(C116&gt;500,"⚠ Facture &gt; 500 € — à relancer","")</f>
      </c>
      <c r="I116">
        <f>=SUM($C$2:$C$120)-SUMIF($G$2:$G$120,"Oui",$C$2:$C$120)</f>
        <v>0</v>
      </c>
      <c r="J116">
        <f>=IF(I116&gt;500,"⚠ ENVOYER MESSAGE PAIEMENT","")</f>
      </c>
      <c r="K116" t="str">
        <v>Non</v>
      </c>
      <c r="L116" t="str">
        <v/>
      </c>
    </row>
    <row r="117">
      <c r="A117" t="str">
        <v/>
      </c>
      <c r="B117" t="str">
        <v/>
      </c>
      <c r="C117">
        <v>0</v>
      </c>
      <c r="D117">
        <v>0</v>
      </c>
      <c r="E117">
        <f>=SUM($D$2:D117)-SUM($C$2:C117)</f>
        <v>500</v>
      </c>
      <c r="F117">
        <f>=IF(E117&lt;=0,"⚠ SOLDE ÉPUISÉ — faire verser 500 €","")</f>
      </c>
      <c r="G117" t="str">
        <v>Non</v>
      </c>
      <c r="H117">
        <f>=IF(C117&gt;500,"⚠ Facture &gt; 500 € — à relancer","")</f>
      </c>
      <c r="I117">
        <f>=SUM($C$2:$C$120)-SUMIF($G$2:$G$120,"Oui",$C$2:$C$120)</f>
        <v>0</v>
      </c>
      <c r="J117">
        <f>=IF(I117&gt;500,"⚠ ENVOYER MESSAGE PAIEMENT","")</f>
      </c>
      <c r="K117" t="str">
        <v>Non</v>
      </c>
      <c r="L117" t="str">
        <v/>
      </c>
    </row>
    <row r="118">
      <c r="A118" t="str">
        <v/>
      </c>
      <c r="B118" t="str">
        <v/>
      </c>
      <c r="C118">
        <v>0</v>
      </c>
      <c r="D118">
        <v>0</v>
      </c>
      <c r="E118">
        <f>=SUM($D$2:D118)-SUM($C$2:C118)</f>
        <v>500</v>
      </c>
      <c r="F118">
        <f>=IF(E118&lt;=0,"⚠ SOLDE ÉPUISÉ — faire verser 500 €","")</f>
      </c>
      <c r="G118" t="str">
        <v>Non</v>
      </c>
      <c r="H118">
        <f>=IF(C118&gt;500,"⚠ Facture &gt; 500 € — à relancer","")</f>
      </c>
      <c r="I118">
        <f>=SUM($C$2:$C$120)-SUMIF($G$2:$G$120,"Oui",$C$2:$C$120)</f>
        <v>0</v>
      </c>
      <c r="J118">
        <f>=IF(I118&gt;500,"⚠ ENVOYER MESSAGE PAIEMENT","")</f>
      </c>
      <c r="K118" t="str">
        <v>Non</v>
      </c>
      <c r="L118" t="str">
        <v/>
      </c>
    </row>
    <row r="119">
      <c r="A119" t="str">
        <v/>
      </c>
      <c r="B119" t="str">
        <v/>
      </c>
      <c r="C119">
        <v>0</v>
      </c>
      <c r="D119">
        <v>0</v>
      </c>
      <c r="E119">
        <f>=SUM($D$2:D119)-SUM($C$2:C119)</f>
        <v>500</v>
      </c>
      <c r="F119">
        <f>=IF(E119&lt;=0,"⚠ SOLDE ÉPUISÉ — faire verser 500 €","")</f>
      </c>
      <c r="G119" t="str">
        <v>Non</v>
      </c>
      <c r="H119">
        <f>=IF(C119&gt;500,"⚠ Facture &gt; 500 € — à relancer","")</f>
      </c>
      <c r="I119">
        <f>=SUM($C$2:$C$120)-SUMIF($G$2:$G$120,"Oui",$C$2:$C$120)</f>
        <v>0</v>
      </c>
      <c r="J119">
        <f>=IF(I119&gt;500,"⚠ ENVOYER MESSAGE PAIEMENT","")</f>
      </c>
      <c r="K119" t="str">
        <v>Non</v>
      </c>
      <c r="L119" t="str">
        <v/>
      </c>
    </row>
    <row r="120">
      <c r="A120" t="str">
        <v/>
      </c>
      <c r="B120" t="str">
        <v/>
      </c>
      <c r="C120">
        <v>0</v>
      </c>
      <c r="D120">
        <v>0</v>
      </c>
      <c r="E120">
        <f>=SUM($D$2:D120)-SUM($C$2:C120)</f>
        <v>500</v>
      </c>
      <c r="F120">
        <f>=IF(E120&lt;=0,"⚠ SOLDE ÉPUISÉ — faire verser 500 €","")</f>
      </c>
      <c r="G120" t="str">
        <v>Non</v>
      </c>
      <c r="H120">
        <f>=IF(C120&gt;500,"⚠ Facture &gt; 500 € — à relancer","")</f>
      </c>
      <c r="I120">
        <f>=SUM($C$2:$C$120)-SUMIF($G$2:$G$120,"Oui",$C$2:$C$120)</f>
        <v>0</v>
      </c>
      <c r="J120">
        <f>=IF(I120&gt;500,"⚠ ENVOYER MESSAGE PAIEMENT","")</f>
      </c>
      <c r="K120" t="str">
        <v>Non</v>
      </c>
      <c r="L120" t="str">
        <v/>
      </c>
    </row>
  </sheetData>
  <ignoredErrors>
    <ignoredError numberStoredAsText="1" sqref="A1:L12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L120"/>
  <sheetViews>
    <sheetView workbookViewId="0"/>
  </sheetViews>
  <cols>
    <col min="1" max="1" width="12.83203125" customWidth="1"/>
    <col min="2" max="2" width="18.83203125" customWidth="1"/>
    <col min="3" max="3" width="11.83203125" customWidth="1"/>
    <col min="4" max="4" width="14.83203125" customWidth="1"/>
    <col min="5" max="5" width="12.83203125" customWidth="1"/>
    <col min="6" max="6" width="28.83203125" customWidth="1"/>
    <col min="7" max="7" width="10.83203125" customWidth="1"/>
    <col min="8" max="8" width="26.83203125" customWidth="1"/>
    <col min="9" max="9" width="14.83203125" customWidth="1"/>
    <col min="10" max="10" width="26.83203125" customWidth="1"/>
    <col min="11" max="11" width="14.83203125" customWidth="1"/>
    <col min="12" max="12" width="12.83203125" customWidth="1"/>
  </cols>
  <sheetData>
    <row r="1">
      <c r="A1" t="str">
        <v>Date facture</v>
      </c>
      <c r="B1" t="str">
        <v>N° facture</v>
      </c>
      <c r="C1" t="str">
        <v>Montant facture (€)</v>
      </c>
      <c r="D1" t="str">
        <v>Versement (€)</v>
      </c>
      <c r="E1" t="str">
        <v>Solde (€)</v>
      </c>
      <c r="F1" t="str">
        <v>Alerte solde</v>
      </c>
      <c r="G1" t="str">
        <v>Payé ? (Oui / Non)</v>
      </c>
      <c r="H1" t="str">
        <v>Alerte facture &gt; 500 €</v>
      </c>
      <c r="I1" t="str">
        <v>Encours impayé (€)</v>
      </c>
      <c r="J1" t="str">
        <v>Alerte encours</v>
      </c>
      <c r="K1" t="str">
        <v>Message envoyé ?</v>
      </c>
      <c r="L1" t="str">
        <v>Date relance</v>
      </c>
    </row>
    <row r="2">
      <c r="A2" t="str">
        <v>2026-01-01</v>
      </c>
      <c r="B2" t="str">
        <v>FAC-MYFRENCHC-2026-01</v>
      </c>
      <c r="C2">
        <v>0</v>
      </c>
      <c r="D2">
        <v>500</v>
      </c>
      <c r="E2">
        <f>=SUM($D$2:D2)-SUM($C$2:C2)</f>
        <v>0</v>
      </c>
      <c r="F2">
        <f>=IF(E2&lt;=0,"⚠ SOLDE ÉPUISÉ — faire verser 500 €","")</f>
      </c>
      <c r="G2" t="str">
        <v>Non</v>
      </c>
      <c r="H2">
        <f>=IF(C2&gt;500,"⚠ Facture &gt; 500 € — à relancer","")</f>
      </c>
      <c r="I2">
        <f>=SUM($C$2:$C$120)-SUMIF($G$2:$G$120,"Oui",$C$2:$C$120)</f>
        <v>0</v>
      </c>
      <c r="J2">
        <f>=IF(I2&gt;500,"⚠ ENVOYER MESSAGE PAIEMENT","")</f>
      </c>
      <c r="K2" t="str">
        <v>Non</v>
      </c>
      <c r="L2" t="str">
        <v/>
      </c>
    </row>
    <row r="3">
      <c r="A3" t="str">
        <v>2026-02-01</v>
      </c>
      <c r="B3" t="str">
        <v>FAC-MYFRENCHC-2026-02</v>
      </c>
      <c r="C3">
        <v>0</v>
      </c>
      <c r="D3">
        <v>0</v>
      </c>
      <c r="E3">
        <f>=SUM($D$2:D3)-SUM($C$2:C3)</f>
        <v>500</v>
      </c>
      <c r="F3">
        <f>=IF(E3&lt;=0,"⚠ SOLDE ÉPUISÉ — faire verser 500 €","")</f>
      </c>
      <c r="G3" t="str">
        <v>Non</v>
      </c>
      <c r="H3">
        <f>=IF(C3&gt;500,"⚠ Facture &gt; 500 € — à relancer","")</f>
      </c>
      <c r="I3">
        <f>=SUM($C$2:$C$120)-SUMIF($G$2:$G$120,"Oui",$C$2:$C$120)</f>
        <v>0</v>
      </c>
      <c r="J3">
        <f>=IF(I3&gt;500,"⚠ ENVOYER MESSAGE PAIEMENT","")</f>
      </c>
      <c r="K3" t="str">
        <v>Non</v>
      </c>
      <c r="L3" t="str">
        <v/>
      </c>
    </row>
    <row r="4">
      <c r="A4" t="str">
        <v>2026-03-01</v>
      </c>
      <c r="B4" t="str">
        <v>FAC-MYFRENCHC-2026-03</v>
      </c>
      <c r="C4">
        <v>0</v>
      </c>
      <c r="D4">
        <v>0</v>
      </c>
      <c r="E4">
        <f>=SUM($D$2:D4)-SUM($C$2:C4)</f>
        <v>500</v>
      </c>
      <c r="F4">
        <f>=IF(E4&lt;=0,"⚠ SOLDE ÉPUISÉ — faire verser 500 €","")</f>
      </c>
      <c r="G4" t="str">
        <v>Non</v>
      </c>
      <c r="H4">
        <f>=IF(C4&gt;500,"⚠ Facture &gt; 500 € — à relancer","")</f>
      </c>
      <c r="I4">
        <f>=SUM($C$2:$C$120)-SUMIF($G$2:$G$120,"Oui",$C$2:$C$120)</f>
        <v>0</v>
      </c>
      <c r="J4">
        <f>=IF(I4&gt;500,"⚠ ENVOYER MESSAGE PAIEMENT","")</f>
      </c>
      <c r="K4" t="str">
        <v>Non</v>
      </c>
      <c r="L4" t="str">
        <v/>
      </c>
    </row>
    <row r="5">
      <c r="A5" t="str">
        <v>2026-04-01</v>
      </c>
      <c r="B5" t="str">
        <v>FAC-MYFRENCHC-2026-04</v>
      </c>
      <c r="C5">
        <v>0</v>
      </c>
      <c r="D5">
        <v>0</v>
      </c>
      <c r="E5">
        <f>=SUM($D$2:D5)-SUM($C$2:C5)</f>
        <v>500</v>
      </c>
      <c r="F5">
        <f>=IF(E5&lt;=0,"⚠ SOLDE ÉPUISÉ — faire verser 500 €","")</f>
      </c>
      <c r="G5" t="str">
        <v>Non</v>
      </c>
      <c r="H5">
        <f>=IF(C5&gt;500,"⚠ Facture &gt; 500 € — à relancer","")</f>
      </c>
      <c r="I5">
        <f>=SUM($C$2:$C$120)-SUMIF($G$2:$G$120,"Oui",$C$2:$C$120)</f>
        <v>0</v>
      </c>
      <c r="J5">
        <f>=IF(I5&gt;500,"⚠ ENVOYER MESSAGE PAIEMENT","")</f>
      </c>
      <c r="K5" t="str">
        <v>Non</v>
      </c>
      <c r="L5" t="str">
        <v/>
      </c>
    </row>
    <row r="6">
      <c r="A6" t="str">
        <v>2026-05-01</v>
      </c>
      <c r="B6" t="str">
        <v>FAC-MYFRENCHC-2026-05</v>
      </c>
      <c r="C6">
        <v>0</v>
      </c>
      <c r="D6">
        <v>0</v>
      </c>
      <c r="E6">
        <f>=SUM($D$2:D6)-SUM($C$2:C6)</f>
        <v>500</v>
      </c>
      <c r="F6">
        <f>=IF(E6&lt;=0,"⚠ SOLDE ÉPUISÉ — faire verser 500 €","")</f>
      </c>
      <c r="G6" t="str">
        <v>Non</v>
      </c>
      <c r="H6">
        <f>=IF(C6&gt;500,"⚠ Facture &gt; 500 € — à relancer","")</f>
      </c>
      <c r="I6">
        <f>=SUM($C$2:$C$120)-SUMIF($G$2:$G$120,"Oui",$C$2:$C$120)</f>
        <v>0</v>
      </c>
      <c r="J6">
        <f>=IF(I6&gt;500,"⚠ ENVOYER MESSAGE PAIEMENT","")</f>
      </c>
      <c r="K6" t="str">
        <v>Non</v>
      </c>
      <c r="L6" t="str">
        <v/>
      </c>
    </row>
    <row r="7">
      <c r="A7" t="str">
        <v>2026-06-01</v>
      </c>
      <c r="B7" t="str">
        <v>FAC-MYFRENCHC-2026-06</v>
      </c>
      <c r="C7">
        <v>0</v>
      </c>
      <c r="D7">
        <v>0</v>
      </c>
      <c r="E7">
        <f>=SUM($D$2:D7)-SUM($C$2:C7)</f>
        <v>500</v>
      </c>
      <c r="F7">
        <f>=IF(E7&lt;=0,"⚠ SOLDE ÉPUISÉ — faire verser 500 €","")</f>
      </c>
      <c r="G7" t="str">
        <v>Non</v>
      </c>
      <c r="H7">
        <f>=IF(C7&gt;500,"⚠ Facture &gt; 500 € — à relancer","")</f>
      </c>
      <c r="I7">
        <f>=SUM($C$2:$C$120)-SUMIF($G$2:$G$120,"Oui",$C$2:$C$120)</f>
        <v>0</v>
      </c>
      <c r="J7">
        <f>=IF(I7&gt;500,"⚠ ENVOYER MESSAGE PAIEMENT","")</f>
      </c>
      <c r="K7" t="str">
        <v>Non</v>
      </c>
      <c r="L7" t="str">
        <v/>
      </c>
    </row>
    <row r="8">
      <c r="A8" t="str">
        <v>2026-07-01</v>
      </c>
      <c r="B8" t="str">
        <v>FAC-MYFRENCHC-2026-07</v>
      </c>
      <c r="C8">
        <v>0</v>
      </c>
      <c r="D8">
        <v>0</v>
      </c>
      <c r="E8">
        <f>=SUM($D$2:D8)-SUM($C$2:C8)</f>
        <v>500</v>
      </c>
      <c r="F8">
        <f>=IF(E8&lt;=0,"⚠ SOLDE ÉPUISÉ — faire verser 500 €","")</f>
      </c>
      <c r="G8" t="str">
        <v>Non</v>
      </c>
      <c r="H8">
        <f>=IF(C8&gt;500,"⚠ Facture &gt; 500 € — à relancer","")</f>
      </c>
      <c r="I8">
        <f>=SUM($C$2:$C$120)-SUMIF($G$2:$G$120,"Oui",$C$2:$C$120)</f>
        <v>0</v>
      </c>
      <c r="J8">
        <f>=IF(I8&gt;500,"⚠ ENVOYER MESSAGE PAIEMENT","")</f>
      </c>
      <c r="K8" t="str">
        <v>Non</v>
      </c>
      <c r="L8" t="str">
        <v/>
      </c>
    </row>
    <row r="9">
      <c r="A9" t="str">
        <v>2026-08-01</v>
      </c>
      <c r="B9" t="str">
        <v>FAC-MYFRENCHC-2026-08</v>
      </c>
      <c r="C9">
        <v>0</v>
      </c>
      <c r="D9">
        <v>0</v>
      </c>
      <c r="E9">
        <f>=SUM($D$2:D9)-SUM($C$2:C9)</f>
        <v>500</v>
      </c>
      <c r="F9">
        <f>=IF(E9&lt;=0,"⚠ SOLDE ÉPUISÉ — faire verser 500 €","")</f>
      </c>
      <c r="G9" t="str">
        <v>Non</v>
      </c>
      <c r="H9">
        <f>=IF(C9&gt;500,"⚠ Facture &gt; 500 € — à relancer","")</f>
      </c>
      <c r="I9">
        <f>=SUM($C$2:$C$120)-SUMIF($G$2:$G$120,"Oui",$C$2:$C$120)</f>
        <v>0</v>
      </c>
      <c r="J9">
        <f>=IF(I9&gt;500,"⚠ ENVOYER MESSAGE PAIEMENT","")</f>
      </c>
      <c r="K9" t="str">
        <v>Non</v>
      </c>
      <c r="L9" t="str">
        <v/>
      </c>
    </row>
    <row r="10">
      <c r="A10" t="str">
        <v>2026-09-01</v>
      </c>
      <c r="B10" t="str">
        <v>FAC-MYFRENCHC-2026-09</v>
      </c>
      <c r="C10">
        <v>0</v>
      </c>
      <c r="D10">
        <v>0</v>
      </c>
      <c r="E10">
        <f>=SUM($D$2:D10)-SUM($C$2:C10)</f>
        <v>500</v>
      </c>
      <c r="F10">
        <f>=IF(E10&lt;=0,"⚠ SOLDE ÉPUISÉ — faire verser 500 €","")</f>
      </c>
      <c r="G10" t="str">
        <v>Non</v>
      </c>
      <c r="H10">
        <f>=IF(C10&gt;500,"⚠ Facture &gt; 500 € — à relancer","")</f>
      </c>
      <c r="I10">
        <f>=SUM($C$2:$C$120)-SUMIF($G$2:$G$120,"Oui",$C$2:$C$120)</f>
        <v>0</v>
      </c>
      <c r="J10">
        <f>=IF(I10&gt;500,"⚠ ENVOYER MESSAGE PAIEMENT","")</f>
      </c>
      <c r="K10" t="str">
        <v>Non</v>
      </c>
      <c r="L10" t="str">
        <v/>
      </c>
    </row>
    <row r="11">
      <c r="A11" t="str">
        <v>2026-10-01</v>
      </c>
      <c r="B11" t="str">
        <v>FAC-MYFRENCHC-2026-10</v>
      </c>
      <c r="C11">
        <v>0</v>
      </c>
      <c r="D11">
        <v>0</v>
      </c>
      <c r="E11">
        <f>=SUM($D$2:D11)-SUM($C$2:C11)</f>
        <v>500</v>
      </c>
      <c r="F11">
        <f>=IF(E11&lt;=0,"⚠ SOLDE ÉPUISÉ — faire verser 500 €","")</f>
      </c>
      <c r="G11" t="str">
        <v>Non</v>
      </c>
      <c r="H11">
        <f>=IF(C11&gt;500,"⚠ Facture &gt; 500 € — à relancer","")</f>
      </c>
      <c r="I11">
        <f>=SUM($C$2:$C$120)-SUMIF($G$2:$G$120,"Oui",$C$2:$C$120)</f>
        <v>0</v>
      </c>
      <c r="J11">
        <f>=IF(I11&gt;500,"⚠ ENVOYER MESSAGE PAIEMENT","")</f>
      </c>
      <c r="K11" t="str">
        <v>Non</v>
      </c>
      <c r="L11" t="str">
        <v/>
      </c>
    </row>
    <row r="12">
      <c r="A12" t="str">
        <v>2026-11-01</v>
      </c>
      <c r="B12" t="str">
        <v>FAC-MYFRENCHC-2026-11</v>
      </c>
      <c r="C12">
        <v>0</v>
      </c>
      <c r="D12">
        <v>0</v>
      </c>
      <c r="E12">
        <f>=SUM($D$2:D12)-SUM($C$2:C12)</f>
        <v>500</v>
      </c>
      <c r="F12">
        <f>=IF(E12&lt;=0,"⚠ SOLDE ÉPUISÉ — faire verser 500 €","")</f>
      </c>
      <c r="G12" t="str">
        <v>Non</v>
      </c>
      <c r="H12">
        <f>=IF(C12&gt;500,"⚠ Facture &gt; 500 € — à relancer","")</f>
      </c>
      <c r="I12">
        <f>=SUM($C$2:$C$120)-SUMIF($G$2:$G$120,"Oui",$C$2:$C$120)</f>
        <v>0</v>
      </c>
      <c r="J12">
        <f>=IF(I12&gt;500,"⚠ ENVOYER MESSAGE PAIEMENT","")</f>
      </c>
      <c r="K12" t="str">
        <v>Non</v>
      </c>
      <c r="L12" t="str">
        <v/>
      </c>
    </row>
    <row r="13">
      <c r="A13" t="str">
        <v>2026-12-01</v>
      </c>
      <c r="B13" t="str">
        <v>FAC-MYFRENCHC-2026-12</v>
      </c>
      <c r="C13">
        <v>0</v>
      </c>
      <c r="D13">
        <v>0</v>
      </c>
      <c r="E13">
        <f>=SUM($D$2:D13)-SUM($C$2:C13)</f>
        <v>500</v>
      </c>
      <c r="F13">
        <f>=IF(E13&lt;=0,"⚠ SOLDE ÉPUISÉ — faire verser 500 €","")</f>
      </c>
      <c r="G13" t="str">
        <v>Non</v>
      </c>
      <c r="H13">
        <f>=IF(C13&gt;500,"⚠ Facture &gt; 500 € — à relancer","")</f>
      </c>
      <c r="I13">
        <f>=SUM($C$2:$C$120)-SUMIF($G$2:$G$120,"Oui",$C$2:$C$120)</f>
        <v>0</v>
      </c>
      <c r="J13">
        <f>=IF(I13&gt;500,"⚠ ENVOYER MESSAGE PAIEMENT","")</f>
      </c>
      <c r="K13" t="str">
        <v>Non</v>
      </c>
      <c r="L13" t="str">
        <v/>
      </c>
    </row>
    <row r="14">
      <c r="A14" t="str">
        <v/>
      </c>
      <c r="B14" t="str">
        <v/>
      </c>
      <c r="C14">
        <v>0</v>
      </c>
      <c r="D14">
        <v>0</v>
      </c>
      <c r="E14">
        <f>=SUM($D$2:D14)-SUM($C$2:C14)</f>
        <v>500</v>
      </c>
      <c r="F14">
        <f>=IF(E14&lt;=0,"⚠ SOLDE ÉPUISÉ — faire verser 500 €","")</f>
      </c>
      <c r="G14" t="str">
        <v>Non</v>
      </c>
      <c r="H14">
        <f>=IF(C14&gt;500,"⚠ Facture &gt; 500 € — à relancer","")</f>
      </c>
      <c r="I14">
        <f>=SUM($C$2:$C$120)-SUMIF($G$2:$G$120,"Oui",$C$2:$C$120)</f>
        <v>0</v>
      </c>
      <c r="J14">
        <f>=IF(I14&gt;500,"⚠ ENVOYER MESSAGE PAIEMENT","")</f>
      </c>
      <c r="K14" t="str">
        <v>Non</v>
      </c>
      <c r="L14" t="str">
        <v/>
      </c>
    </row>
    <row r="15">
      <c r="A15" t="str">
        <v/>
      </c>
      <c r="B15" t="str">
        <v/>
      </c>
      <c r="C15">
        <v>0</v>
      </c>
      <c r="D15">
        <v>0</v>
      </c>
      <c r="E15">
        <f>=SUM($D$2:D15)-SUM($C$2:C15)</f>
        <v>500</v>
      </c>
      <c r="F15">
        <f>=IF(E15&lt;=0,"⚠ SOLDE ÉPUISÉ — faire verser 500 €","")</f>
      </c>
      <c r="G15" t="str">
        <v>Non</v>
      </c>
      <c r="H15">
        <f>=IF(C15&gt;500,"⚠ Facture &gt; 500 € — à relancer","")</f>
      </c>
      <c r="I15">
        <f>=SUM($C$2:$C$120)-SUMIF($G$2:$G$120,"Oui",$C$2:$C$120)</f>
        <v>0</v>
      </c>
      <c r="J15">
        <f>=IF(I15&gt;500,"⚠ ENVOYER MESSAGE PAIEMENT","")</f>
      </c>
      <c r="K15" t="str">
        <v>Non</v>
      </c>
      <c r="L15" t="str">
        <v/>
      </c>
    </row>
    <row r="16">
      <c r="A16" t="str">
        <v/>
      </c>
      <c r="B16" t="str">
        <v/>
      </c>
      <c r="C16">
        <v>0</v>
      </c>
      <c r="D16">
        <v>0</v>
      </c>
      <c r="E16">
        <f>=SUM($D$2:D16)-SUM($C$2:C16)</f>
        <v>500</v>
      </c>
      <c r="F16">
        <f>=IF(E16&lt;=0,"⚠ SOLDE ÉPUISÉ — faire verser 500 €","")</f>
      </c>
      <c r="G16" t="str">
        <v>Non</v>
      </c>
      <c r="H16">
        <f>=IF(C16&gt;500,"⚠ Facture &gt; 500 € — à relancer","")</f>
      </c>
      <c r="I16">
        <f>=SUM($C$2:$C$120)-SUMIF($G$2:$G$120,"Oui",$C$2:$C$120)</f>
        <v>0</v>
      </c>
      <c r="J16">
        <f>=IF(I16&gt;500,"⚠ ENVOYER MESSAGE PAIEMENT","")</f>
      </c>
      <c r="K16" t="str">
        <v>Non</v>
      </c>
      <c r="L16" t="str">
        <v/>
      </c>
    </row>
    <row r="17">
      <c r="A17" t="str">
        <v/>
      </c>
      <c r="B17" t="str">
        <v/>
      </c>
      <c r="C17">
        <v>0</v>
      </c>
      <c r="D17">
        <v>0</v>
      </c>
      <c r="E17">
        <f>=SUM($D$2:D17)-SUM($C$2:C17)</f>
        <v>500</v>
      </c>
      <c r="F17">
        <f>=IF(E17&lt;=0,"⚠ SOLDE ÉPUISÉ — faire verser 500 €","")</f>
      </c>
      <c r="G17" t="str">
        <v>Non</v>
      </c>
      <c r="H17">
        <f>=IF(C17&gt;500,"⚠ Facture &gt; 500 € — à relancer","")</f>
      </c>
      <c r="I17">
        <f>=SUM($C$2:$C$120)-SUMIF($G$2:$G$120,"Oui",$C$2:$C$120)</f>
        <v>0</v>
      </c>
      <c r="J17">
        <f>=IF(I17&gt;500,"⚠ ENVOYER MESSAGE PAIEMENT","")</f>
      </c>
      <c r="K17" t="str">
        <v>Non</v>
      </c>
      <c r="L17" t="str">
        <v/>
      </c>
    </row>
    <row r="18">
      <c r="A18" t="str">
        <v/>
      </c>
      <c r="B18" t="str">
        <v/>
      </c>
      <c r="C18">
        <v>0</v>
      </c>
      <c r="D18">
        <v>0</v>
      </c>
      <c r="E18">
        <f>=SUM($D$2:D18)-SUM($C$2:C18)</f>
        <v>500</v>
      </c>
      <c r="F18">
        <f>=IF(E18&lt;=0,"⚠ SOLDE ÉPUISÉ — faire verser 500 €","")</f>
      </c>
      <c r="G18" t="str">
        <v>Non</v>
      </c>
      <c r="H18">
        <f>=IF(C18&gt;500,"⚠ Facture &gt; 500 € — à relancer","")</f>
      </c>
      <c r="I18">
        <f>=SUM($C$2:$C$120)-SUMIF($G$2:$G$120,"Oui",$C$2:$C$120)</f>
        <v>0</v>
      </c>
      <c r="J18">
        <f>=IF(I18&gt;500,"⚠ ENVOYER MESSAGE PAIEMENT","")</f>
      </c>
      <c r="K18" t="str">
        <v>Non</v>
      </c>
      <c r="L18" t="str">
        <v/>
      </c>
    </row>
    <row r="19">
      <c r="A19" t="str">
        <v/>
      </c>
      <c r="B19" t="str">
        <v/>
      </c>
      <c r="C19">
        <v>0</v>
      </c>
      <c r="D19">
        <v>0</v>
      </c>
      <c r="E19">
        <f>=SUM($D$2:D19)-SUM($C$2:C19)</f>
        <v>500</v>
      </c>
      <c r="F19">
        <f>=IF(E19&lt;=0,"⚠ SOLDE ÉPUISÉ — faire verser 500 €","")</f>
      </c>
      <c r="G19" t="str">
        <v>Non</v>
      </c>
      <c r="H19">
        <f>=IF(C19&gt;500,"⚠ Facture &gt; 500 € — à relancer","")</f>
      </c>
      <c r="I19">
        <f>=SUM($C$2:$C$120)-SUMIF($G$2:$G$120,"Oui",$C$2:$C$120)</f>
        <v>0</v>
      </c>
      <c r="J19">
        <f>=IF(I19&gt;500,"⚠ ENVOYER MESSAGE PAIEMENT","")</f>
      </c>
      <c r="K19" t="str">
        <v>Non</v>
      </c>
      <c r="L19" t="str">
        <v/>
      </c>
    </row>
    <row r="20">
      <c r="A20" t="str">
        <v/>
      </c>
      <c r="B20" t="str">
        <v/>
      </c>
      <c r="C20">
        <v>0</v>
      </c>
      <c r="D20">
        <v>0</v>
      </c>
      <c r="E20">
        <f>=SUM($D$2:D20)-SUM($C$2:C20)</f>
        <v>500</v>
      </c>
      <c r="F20">
        <f>=IF(E20&lt;=0,"⚠ SOLDE ÉPUISÉ — faire verser 500 €","")</f>
      </c>
      <c r="G20" t="str">
        <v>Non</v>
      </c>
      <c r="H20">
        <f>=IF(C20&gt;500,"⚠ Facture &gt; 500 € — à relancer","")</f>
      </c>
      <c r="I20">
        <f>=SUM($C$2:$C$120)-SUMIF($G$2:$G$120,"Oui",$C$2:$C$120)</f>
        <v>0</v>
      </c>
      <c r="J20">
        <f>=IF(I20&gt;500,"⚠ ENVOYER MESSAGE PAIEMENT","")</f>
      </c>
      <c r="K20" t="str">
        <v>Non</v>
      </c>
      <c r="L20" t="str">
        <v/>
      </c>
    </row>
    <row r="21">
      <c r="A21" t="str">
        <v/>
      </c>
      <c r="B21" t="str">
        <v/>
      </c>
      <c r="C21">
        <v>0</v>
      </c>
      <c r="D21">
        <v>0</v>
      </c>
      <c r="E21">
        <f>=SUM($D$2:D21)-SUM($C$2:C21)</f>
        <v>500</v>
      </c>
      <c r="F21">
        <f>=IF(E21&lt;=0,"⚠ SOLDE ÉPUISÉ — faire verser 500 €","")</f>
      </c>
      <c r="G21" t="str">
        <v>Non</v>
      </c>
      <c r="H21">
        <f>=IF(C21&gt;500,"⚠ Facture &gt; 500 € — à relancer","")</f>
      </c>
      <c r="I21">
        <f>=SUM($C$2:$C$120)-SUMIF($G$2:$G$120,"Oui",$C$2:$C$120)</f>
        <v>0</v>
      </c>
      <c r="J21">
        <f>=IF(I21&gt;500,"⚠ ENVOYER MESSAGE PAIEMENT","")</f>
      </c>
      <c r="K21" t="str">
        <v>Non</v>
      </c>
      <c r="L21" t="str">
        <v/>
      </c>
    </row>
    <row r="22">
      <c r="A22" t="str">
        <v/>
      </c>
      <c r="B22" t="str">
        <v/>
      </c>
      <c r="C22">
        <v>0</v>
      </c>
      <c r="D22">
        <v>0</v>
      </c>
      <c r="E22">
        <f>=SUM($D$2:D22)-SUM($C$2:C22)</f>
        <v>500</v>
      </c>
      <c r="F22">
        <f>=IF(E22&lt;=0,"⚠ SOLDE ÉPUISÉ — faire verser 500 €","")</f>
      </c>
      <c r="G22" t="str">
        <v>Non</v>
      </c>
      <c r="H22">
        <f>=IF(C22&gt;500,"⚠ Facture &gt; 500 € — à relancer","")</f>
      </c>
      <c r="I22">
        <f>=SUM($C$2:$C$120)-SUMIF($G$2:$G$120,"Oui",$C$2:$C$120)</f>
        <v>0</v>
      </c>
      <c r="J22">
        <f>=IF(I22&gt;500,"⚠ ENVOYER MESSAGE PAIEMENT","")</f>
      </c>
      <c r="K22" t="str">
        <v>Non</v>
      </c>
      <c r="L22" t="str">
        <v/>
      </c>
    </row>
    <row r="23">
      <c r="A23" t="str">
        <v/>
      </c>
      <c r="B23" t="str">
        <v/>
      </c>
      <c r="C23">
        <v>0</v>
      </c>
      <c r="D23">
        <v>0</v>
      </c>
      <c r="E23">
        <f>=SUM($D$2:D23)-SUM($C$2:C23)</f>
        <v>500</v>
      </c>
      <c r="F23">
        <f>=IF(E23&lt;=0,"⚠ SOLDE ÉPUISÉ — faire verser 500 €","")</f>
      </c>
      <c r="G23" t="str">
        <v>Non</v>
      </c>
      <c r="H23">
        <f>=IF(C23&gt;500,"⚠ Facture &gt; 500 € — à relancer","")</f>
      </c>
      <c r="I23">
        <f>=SUM($C$2:$C$120)-SUMIF($G$2:$G$120,"Oui",$C$2:$C$120)</f>
        <v>0</v>
      </c>
      <c r="J23">
        <f>=IF(I23&gt;500,"⚠ ENVOYER MESSAGE PAIEMENT","")</f>
      </c>
      <c r="K23" t="str">
        <v>Non</v>
      </c>
      <c r="L23" t="str">
        <v/>
      </c>
    </row>
    <row r="24">
      <c r="A24" t="str">
        <v/>
      </c>
      <c r="B24" t="str">
        <v/>
      </c>
      <c r="C24">
        <v>0</v>
      </c>
      <c r="D24">
        <v>0</v>
      </c>
      <c r="E24">
        <f>=SUM($D$2:D24)-SUM($C$2:C24)</f>
        <v>500</v>
      </c>
      <c r="F24">
        <f>=IF(E24&lt;=0,"⚠ SOLDE ÉPUISÉ — faire verser 500 €","")</f>
      </c>
      <c r="G24" t="str">
        <v>Non</v>
      </c>
      <c r="H24">
        <f>=IF(C24&gt;500,"⚠ Facture &gt; 500 € — à relancer","")</f>
      </c>
      <c r="I24">
        <f>=SUM($C$2:$C$120)-SUMIF($G$2:$G$120,"Oui",$C$2:$C$120)</f>
        <v>0</v>
      </c>
      <c r="J24">
        <f>=IF(I24&gt;500,"⚠ ENVOYER MESSAGE PAIEMENT","")</f>
      </c>
      <c r="K24" t="str">
        <v>Non</v>
      </c>
      <c r="L24" t="str">
        <v/>
      </c>
    </row>
    <row r="25">
      <c r="A25" t="str">
        <v/>
      </c>
      <c r="B25" t="str">
        <v/>
      </c>
      <c r="C25">
        <v>0</v>
      </c>
      <c r="D25">
        <v>0</v>
      </c>
      <c r="E25">
        <f>=SUM($D$2:D25)-SUM($C$2:C25)</f>
        <v>500</v>
      </c>
      <c r="F25">
        <f>=IF(E25&lt;=0,"⚠ SOLDE ÉPUISÉ — faire verser 500 €","")</f>
      </c>
      <c r="G25" t="str">
        <v>Non</v>
      </c>
      <c r="H25">
        <f>=IF(C25&gt;500,"⚠ Facture &gt; 500 € — à relancer","")</f>
      </c>
      <c r="I25">
        <f>=SUM($C$2:$C$120)-SUMIF($G$2:$G$120,"Oui",$C$2:$C$120)</f>
        <v>0</v>
      </c>
      <c r="J25">
        <f>=IF(I25&gt;500,"⚠ ENVOYER MESSAGE PAIEMENT","")</f>
      </c>
      <c r="K25" t="str">
        <v>Non</v>
      </c>
      <c r="L25" t="str">
        <v/>
      </c>
    </row>
    <row r="26">
      <c r="A26" t="str">
        <v/>
      </c>
      <c r="B26" t="str">
        <v/>
      </c>
      <c r="C26">
        <v>0</v>
      </c>
      <c r="D26">
        <v>0</v>
      </c>
      <c r="E26">
        <f>=SUM($D$2:D26)-SUM($C$2:C26)</f>
        <v>500</v>
      </c>
      <c r="F26">
        <f>=IF(E26&lt;=0,"⚠ SOLDE ÉPUISÉ — faire verser 500 €","")</f>
      </c>
      <c r="G26" t="str">
        <v>Non</v>
      </c>
      <c r="H26">
        <f>=IF(C26&gt;500,"⚠ Facture &gt; 500 € — à relancer","")</f>
      </c>
      <c r="I26">
        <f>=SUM($C$2:$C$120)-SUMIF($G$2:$G$120,"Oui",$C$2:$C$120)</f>
        <v>0</v>
      </c>
      <c r="J26">
        <f>=IF(I26&gt;500,"⚠ ENVOYER MESSAGE PAIEMENT","")</f>
      </c>
      <c r="K26" t="str">
        <v>Non</v>
      </c>
      <c r="L26" t="str">
        <v/>
      </c>
    </row>
    <row r="27">
      <c r="A27" t="str">
        <v/>
      </c>
      <c r="B27" t="str">
        <v/>
      </c>
      <c r="C27">
        <v>0</v>
      </c>
      <c r="D27">
        <v>0</v>
      </c>
      <c r="E27">
        <f>=SUM($D$2:D27)-SUM($C$2:C27)</f>
        <v>500</v>
      </c>
      <c r="F27">
        <f>=IF(E27&lt;=0,"⚠ SOLDE ÉPUISÉ — faire verser 500 €","")</f>
      </c>
      <c r="G27" t="str">
        <v>Non</v>
      </c>
      <c r="H27">
        <f>=IF(C27&gt;500,"⚠ Facture &gt; 500 € — à relancer","")</f>
      </c>
      <c r="I27">
        <f>=SUM($C$2:$C$120)-SUMIF($G$2:$G$120,"Oui",$C$2:$C$120)</f>
        <v>0</v>
      </c>
      <c r="J27">
        <f>=IF(I27&gt;500,"⚠ ENVOYER MESSAGE PAIEMENT","")</f>
      </c>
      <c r="K27" t="str">
        <v>Non</v>
      </c>
      <c r="L27" t="str">
        <v/>
      </c>
    </row>
    <row r="28">
      <c r="A28" t="str">
        <v/>
      </c>
      <c r="B28" t="str">
        <v/>
      </c>
      <c r="C28">
        <v>0</v>
      </c>
      <c r="D28">
        <v>0</v>
      </c>
      <c r="E28">
        <f>=SUM($D$2:D28)-SUM($C$2:C28)</f>
        <v>500</v>
      </c>
      <c r="F28">
        <f>=IF(E28&lt;=0,"⚠ SOLDE ÉPUISÉ — faire verser 500 €","")</f>
      </c>
      <c r="G28" t="str">
        <v>Non</v>
      </c>
      <c r="H28">
        <f>=IF(C28&gt;500,"⚠ Facture &gt; 500 € — à relancer","")</f>
      </c>
      <c r="I28">
        <f>=SUM($C$2:$C$120)-SUMIF($G$2:$G$120,"Oui",$C$2:$C$120)</f>
        <v>0</v>
      </c>
      <c r="J28">
        <f>=IF(I28&gt;500,"⚠ ENVOYER MESSAGE PAIEMENT","")</f>
      </c>
      <c r="K28" t="str">
        <v>Non</v>
      </c>
      <c r="L28" t="str">
        <v/>
      </c>
    </row>
    <row r="29">
      <c r="A29" t="str">
        <v/>
      </c>
      <c r="B29" t="str">
        <v/>
      </c>
      <c r="C29">
        <v>0</v>
      </c>
      <c r="D29">
        <v>0</v>
      </c>
      <c r="E29">
        <f>=SUM($D$2:D29)-SUM($C$2:C29)</f>
        <v>500</v>
      </c>
      <c r="F29">
        <f>=IF(E29&lt;=0,"⚠ SOLDE ÉPUISÉ — faire verser 500 €","")</f>
      </c>
      <c r="G29" t="str">
        <v>Non</v>
      </c>
      <c r="H29">
        <f>=IF(C29&gt;500,"⚠ Facture &gt; 500 € — à relancer","")</f>
      </c>
      <c r="I29">
        <f>=SUM($C$2:$C$120)-SUMIF($G$2:$G$120,"Oui",$C$2:$C$120)</f>
        <v>0</v>
      </c>
      <c r="J29">
        <f>=IF(I29&gt;500,"⚠ ENVOYER MESSAGE PAIEMENT","")</f>
      </c>
      <c r="K29" t="str">
        <v>Non</v>
      </c>
      <c r="L29" t="str">
        <v/>
      </c>
    </row>
    <row r="30">
      <c r="A30" t="str">
        <v/>
      </c>
      <c r="B30" t="str">
        <v/>
      </c>
      <c r="C30">
        <v>0</v>
      </c>
      <c r="D30">
        <v>0</v>
      </c>
      <c r="E30">
        <f>=SUM($D$2:D30)-SUM($C$2:C30)</f>
        <v>500</v>
      </c>
      <c r="F30">
        <f>=IF(E30&lt;=0,"⚠ SOLDE ÉPUISÉ — faire verser 500 €","")</f>
      </c>
      <c r="G30" t="str">
        <v>Non</v>
      </c>
      <c r="H30">
        <f>=IF(C30&gt;500,"⚠ Facture &gt; 500 € — à relancer","")</f>
      </c>
      <c r="I30">
        <f>=SUM($C$2:$C$120)-SUMIF($G$2:$G$120,"Oui",$C$2:$C$120)</f>
        <v>0</v>
      </c>
      <c r="J30">
        <f>=IF(I30&gt;500,"⚠ ENVOYER MESSAGE PAIEMENT","")</f>
      </c>
      <c r="K30" t="str">
        <v>Non</v>
      </c>
      <c r="L30" t="str">
        <v/>
      </c>
    </row>
    <row r="31">
      <c r="A31" t="str">
        <v/>
      </c>
      <c r="B31" t="str">
        <v/>
      </c>
      <c r="C31">
        <v>0</v>
      </c>
      <c r="D31">
        <v>0</v>
      </c>
      <c r="E31">
        <f>=SUM($D$2:D31)-SUM($C$2:C31)</f>
        <v>500</v>
      </c>
      <c r="F31">
        <f>=IF(E31&lt;=0,"⚠ SOLDE ÉPUISÉ — faire verser 500 €","")</f>
      </c>
      <c r="G31" t="str">
        <v>Non</v>
      </c>
      <c r="H31">
        <f>=IF(C31&gt;500,"⚠ Facture &gt; 500 € — à relancer","")</f>
      </c>
      <c r="I31">
        <f>=SUM($C$2:$C$120)-SUMIF($G$2:$G$120,"Oui",$C$2:$C$120)</f>
        <v>0</v>
      </c>
      <c r="J31">
        <f>=IF(I31&gt;500,"⚠ ENVOYER MESSAGE PAIEMENT","")</f>
      </c>
      <c r="K31" t="str">
        <v>Non</v>
      </c>
      <c r="L31" t="str">
        <v/>
      </c>
    </row>
    <row r="32">
      <c r="A32" t="str">
        <v/>
      </c>
      <c r="B32" t="str">
        <v/>
      </c>
      <c r="C32">
        <v>0</v>
      </c>
      <c r="D32">
        <v>0</v>
      </c>
      <c r="E32">
        <f>=SUM($D$2:D32)-SUM($C$2:C32)</f>
        <v>500</v>
      </c>
      <c r="F32">
        <f>=IF(E32&lt;=0,"⚠ SOLDE ÉPUISÉ — faire verser 500 €","")</f>
      </c>
      <c r="G32" t="str">
        <v>Non</v>
      </c>
      <c r="H32">
        <f>=IF(C32&gt;500,"⚠ Facture &gt; 500 € — à relancer","")</f>
      </c>
      <c r="I32">
        <f>=SUM($C$2:$C$120)-SUMIF($G$2:$G$120,"Oui",$C$2:$C$120)</f>
        <v>0</v>
      </c>
      <c r="J32">
        <f>=IF(I32&gt;500,"⚠ ENVOYER MESSAGE PAIEMENT","")</f>
      </c>
      <c r="K32" t="str">
        <v>Non</v>
      </c>
      <c r="L32" t="str">
        <v/>
      </c>
    </row>
    <row r="33">
      <c r="A33" t="str">
        <v/>
      </c>
      <c r="B33" t="str">
        <v/>
      </c>
      <c r="C33">
        <v>0</v>
      </c>
      <c r="D33">
        <v>0</v>
      </c>
      <c r="E33">
        <f>=SUM($D$2:D33)-SUM($C$2:C33)</f>
        <v>500</v>
      </c>
      <c r="F33">
        <f>=IF(E33&lt;=0,"⚠ SOLDE ÉPUISÉ — faire verser 500 €","")</f>
      </c>
      <c r="G33" t="str">
        <v>Non</v>
      </c>
      <c r="H33">
        <f>=IF(C33&gt;500,"⚠ Facture &gt; 500 € — à relancer","")</f>
      </c>
      <c r="I33">
        <f>=SUM($C$2:$C$120)-SUMIF($G$2:$G$120,"Oui",$C$2:$C$120)</f>
        <v>0</v>
      </c>
      <c r="J33">
        <f>=IF(I33&gt;500,"⚠ ENVOYER MESSAGE PAIEMENT","")</f>
      </c>
      <c r="K33" t="str">
        <v>Non</v>
      </c>
      <c r="L33" t="str">
        <v/>
      </c>
    </row>
    <row r="34">
      <c r="A34" t="str">
        <v/>
      </c>
      <c r="B34" t="str">
        <v/>
      </c>
      <c r="C34">
        <v>0</v>
      </c>
      <c r="D34">
        <v>0</v>
      </c>
      <c r="E34">
        <f>=SUM($D$2:D34)-SUM($C$2:C34)</f>
        <v>500</v>
      </c>
      <c r="F34">
        <f>=IF(E34&lt;=0,"⚠ SOLDE ÉPUISÉ — faire verser 500 €","")</f>
      </c>
      <c r="G34" t="str">
        <v>Non</v>
      </c>
      <c r="H34">
        <f>=IF(C34&gt;500,"⚠ Facture &gt; 500 € — à relancer","")</f>
      </c>
      <c r="I34">
        <f>=SUM($C$2:$C$120)-SUMIF($G$2:$G$120,"Oui",$C$2:$C$120)</f>
        <v>0</v>
      </c>
      <c r="J34">
        <f>=IF(I34&gt;500,"⚠ ENVOYER MESSAGE PAIEMENT","")</f>
      </c>
      <c r="K34" t="str">
        <v>Non</v>
      </c>
      <c r="L34" t="str">
        <v/>
      </c>
    </row>
    <row r="35">
      <c r="A35" t="str">
        <v/>
      </c>
      <c r="B35" t="str">
        <v/>
      </c>
      <c r="C35">
        <v>0</v>
      </c>
      <c r="D35">
        <v>0</v>
      </c>
      <c r="E35">
        <f>=SUM($D$2:D35)-SUM($C$2:C35)</f>
        <v>500</v>
      </c>
      <c r="F35">
        <f>=IF(E35&lt;=0,"⚠ SOLDE ÉPUISÉ — faire verser 500 €","")</f>
      </c>
      <c r="G35" t="str">
        <v>Non</v>
      </c>
      <c r="H35">
        <f>=IF(C35&gt;500,"⚠ Facture &gt; 500 € — à relancer","")</f>
      </c>
      <c r="I35">
        <f>=SUM($C$2:$C$120)-SUMIF($G$2:$G$120,"Oui",$C$2:$C$120)</f>
        <v>0</v>
      </c>
      <c r="J35">
        <f>=IF(I35&gt;500,"⚠ ENVOYER MESSAGE PAIEMENT","")</f>
      </c>
      <c r="K35" t="str">
        <v>Non</v>
      </c>
      <c r="L35" t="str">
        <v/>
      </c>
    </row>
    <row r="36">
      <c r="A36" t="str">
        <v/>
      </c>
      <c r="B36" t="str">
        <v/>
      </c>
      <c r="C36">
        <v>0</v>
      </c>
      <c r="D36">
        <v>0</v>
      </c>
      <c r="E36">
        <f>=SUM($D$2:D36)-SUM($C$2:C36)</f>
        <v>500</v>
      </c>
      <c r="F36">
        <f>=IF(E36&lt;=0,"⚠ SOLDE ÉPUISÉ — faire verser 500 €","")</f>
      </c>
      <c r="G36" t="str">
        <v>Non</v>
      </c>
      <c r="H36">
        <f>=IF(C36&gt;500,"⚠ Facture &gt; 500 € — à relancer","")</f>
      </c>
      <c r="I36">
        <f>=SUM($C$2:$C$120)-SUMIF($G$2:$G$120,"Oui",$C$2:$C$120)</f>
        <v>0</v>
      </c>
      <c r="J36">
        <f>=IF(I36&gt;500,"⚠ ENVOYER MESSAGE PAIEMENT","")</f>
      </c>
      <c r="K36" t="str">
        <v>Non</v>
      </c>
      <c r="L36" t="str">
        <v/>
      </c>
    </row>
    <row r="37">
      <c r="A37" t="str">
        <v/>
      </c>
      <c r="B37" t="str">
        <v/>
      </c>
      <c r="C37">
        <v>0</v>
      </c>
      <c r="D37">
        <v>0</v>
      </c>
      <c r="E37">
        <f>=SUM($D$2:D37)-SUM($C$2:C37)</f>
        <v>500</v>
      </c>
      <c r="F37">
        <f>=IF(E37&lt;=0,"⚠ SOLDE ÉPUISÉ — faire verser 500 €","")</f>
      </c>
      <c r="G37" t="str">
        <v>Non</v>
      </c>
      <c r="H37">
        <f>=IF(C37&gt;500,"⚠ Facture &gt; 500 € — à relancer","")</f>
      </c>
      <c r="I37">
        <f>=SUM($C$2:$C$120)-SUMIF($G$2:$G$120,"Oui",$C$2:$C$120)</f>
        <v>0</v>
      </c>
      <c r="J37">
        <f>=IF(I37&gt;500,"⚠ ENVOYER MESSAGE PAIEMENT","")</f>
      </c>
      <c r="K37" t="str">
        <v>Non</v>
      </c>
      <c r="L37" t="str">
        <v/>
      </c>
    </row>
    <row r="38">
      <c r="A38" t="str">
        <v/>
      </c>
      <c r="B38" t="str">
        <v/>
      </c>
      <c r="C38">
        <v>0</v>
      </c>
      <c r="D38">
        <v>0</v>
      </c>
      <c r="E38">
        <f>=SUM($D$2:D38)-SUM($C$2:C38)</f>
        <v>500</v>
      </c>
      <c r="F38">
        <f>=IF(E38&lt;=0,"⚠ SOLDE ÉPUISÉ — faire verser 500 €","")</f>
      </c>
      <c r="G38" t="str">
        <v>Non</v>
      </c>
      <c r="H38">
        <f>=IF(C38&gt;500,"⚠ Facture &gt; 500 € — à relancer","")</f>
      </c>
      <c r="I38">
        <f>=SUM($C$2:$C$120)-SUMIF($G$2:$G$120,"Oui",$C$2:$C$120)</f>
        <v>0</v>
      </c>
      <c r="J38">
        <f>=IF(I38&gt;500,"⚠ ENVOYER MESSAGE PAIEMENT","")</f>
      </c>
      <c r="K38" t="str">
        <v>Non</v>
      </c>
      <c r="L38" t="str">
        <v/>
      </c>
    </row>
    <row r="39">
      <c r="A39" t="str">
        <v/>
      </c>
      <c r="B39" t="str">
        <v/>
      </c>
      <c r="C39">
        <v>0</v>
      </c>
      <c r="D39">
        <v>0</v>
      </c>
      <c r="E39">
        <f>=SUM($D$2:D39)-SUM($C$2:C39)</f>
        <v>500</v>
      </c>
      <c r="F39">
        <f>=IF(E39&lt;=0,"⚠ SOLDE ÉPUISÉ — faire verser 500 €","")</f>
      </c>
      <c r="G39" t="str">
        <v>Non</v>
      </c>
      <c r="H39">
        <f>=IF(C39&gt;500,"⚠ Facture &gt; 500 € — à relancer","")</f>
      </c>
      <c r="I39">
        <f>=SUM($C$2:$C$120)-SUMIF($G$2:$G$120,"Oui",$C$2:$C$120)</f>
        <v>0</v>
      </c>
      <c r="J39">
        <f>=IF(I39&gt;500,"⚠ ENVOYER MESSAGE PAIEMENT","")</f>
      </c>
      <c r="K39" t="str">
        <v>Non</v>
      </c>
      <c r="L39" t="str">
        <v/>
      </c>
    </row>
    <row r="40">
      <c r="A40" t="str">
        <v/>
      </c>
      <c r="B40" t="str">
        <v/>
      </c>
      <c r="C40">
        <v>0</v>
      </c>
      <c r="D40">
        <v>0</v>
      </c>
      <c r="E40">
        <f>=SUM($D$2:D40)-SUM($C$2:C40)</f>
        <v>500</v>
      </c>
      <c r="F40">
        <f>=IF(E40&lt;=0,"⚠ SOLDE ÉPUISÉ — faire verser 500 €","")</f>
      </c>
      <c r="G40" t="str">
        <v>Non</v>
      </c>
      <c r="H40">
        <f>=IF(C40&gt;500,"⚠ Facture &gt; 500 € — à relancer","")</f>
      </c>
      <c r="I40">
        <f>=SUM($C$2:$C$120)-SUMIF($G$2:$G$120,"Oui",$C$2:$C$120)</f>
        <v>0</v>
      </c>
      <c r="J40">
        <f>=IF(I40&gt;500,"⚠ ENVOYER MESSAGE PAIEMENT","")</f>
      </c>
      <c r="K40" t="str">
        <v>Non</v>
      </c>
      <c r="L40" t="str">
        <v/>
      </c>
    </row>
    <row r="41">
      <c r="A41" t="str">
        <v/>
      </c>
      <c r="B41" t="str">
        <v/>
      </c>
      <c r="C41">
        <v>0</v>
      </c>
      <c r="D41">
        <v>0</v>
      </c>
      <c r="E41">
        <f>=SUM($D$2:D41)-SUM($C$2:C41)</f>
        <v>500</v>
      </c>
      <c r="F41">
        <f>=IF(E41&lt;=0,"⚠ SOLDE ÉPUISÉ — faire verser 500 €","")</f>
      </c>
      <c r="G41" t="str">
        <v>Non</v>
      </c>
      <c r="H41">
        <f>=IF(C41&gt;500,"⚠ Facture &gt; 500 € — à relancer","")</f>
      </c>
      <c r="I41">
        <f>=SUM($C$2:$C$120)-SUMIF($G$2:$G$120,"Oui",$C$2:$C$120)</f>
        <v>0</v>
      </c>
      <c r="J41">
        <f>=IF(I41&gt;500,"⚠ ENVOYER MESSAGE PAIEMENT","")</f>
      </c>
      <c r="K41" t="str">
        <v>Non</v>
      </c>
      <c r="L41" t="str">
        <v/>
      </c>
    </row>
    <row r="42">
      <c r="A42" t="str">
        <v/>
      </c>
      <c r="B42" t="str">
        <v/>
      </c>
      <c r="C42">
        <v>0</v>
      </c>
      <c r="D42">
        <v>0</v>
      </c>
      <c r="E42">
        <f>=SUM($D$2:D42)-SUM($C$2:C42)</f>
        <v>500</v>
      </c>
      <c r="F42">
        <f>=IF(E42&lt;=0,"⚠ SOLDE ÉPUISÉ — faire verser 500 €","")</f>
      </c>
      <c r="G42" t="str">
        <v>Non</v>
      </c>
      <c r="H42">
        <f>=IF(C42&gt;500,"⚠ Facture &gt; 500 € — à relancer","")</f>
      </c>
      <c r="I42">
        <f>=SUM($C$2:$C$120)-SUMIF($G$2:$G$120,"Oui",$C$2:$C$120)</f>
        <v>0</v>
      </c>
      <c r="J42">
        <f>=IF(I42&gt;500,"⚠ ENVOYER MESSAGE PAIEMENT","")</f>
      </c>
      <c r="K42" t="str">
        <v>Non</v>
      </c>
      <c r="L42" t="str">
        <v/>
      </c>
    </row>
    <row r="43">
      <c r="A43" t="str">
        <v/>
      </c>
      <c r="B43" t="str">
        <v/>
      </c>
      <c r="C43">
        <v>0</v>
      </c>
      <c r="D43">
        <v>0</v>
      </c>
      <c r="E43">
        <f>=SUM($D$2:D43)-SUM($C$2:C43)</f>
        <v>500</v>
      </c>
      <c r="F43">
        <f>=IF(E43&lt;=0,"⚠ SOLDE ÉPUISÉ — faire verser 500 €","")</f>
      </c>
      <c r="G43" t="str">
        <v>Non</v>
      </c>
      <c r="H43">
        <f>=IF(C43&gt;500,"⚠ Facture &gt; 500 € — à relancer","")</f>
      </c>
      <c r="I43">
        <f>=SUM($C$2:$C$120)-SUMIF($G$2:$G$120,"Oui",$C$2:$C$120)</f>
        <v>0</v>
      </c>
      <c r="J43">
        <f>=IF(I43&gt;500,"⚠ ENVOYER MESSAGE PAIEMENT","")</f>
      </c>
      <c r="K43" t="str">
        <v>Non</v>
      </c>
      <c r="L43" t="str">
        <v/>
      </c>
    </row>
    <row r="44">
      <c r="A44" t="str">
        <v/>
      </c>
      <c r="B44" t="str">
        <v/>
      </c>
      <c r="C44">
        <v>0</v>
      </c>
      <c r="D44">
        <v>0</v>
      </c>
      <c r="E44">
        <f>=SUM($D$2:D44)-SUM($C$2:C44)</f>
        <v>500</v>
      </c>
      <c r="F44">
        <f>=IF(E44&lt;=0,"⚠ SOLDE ÉPUISÉ — faire verser 500 €","")</f>
      </c>
      <c r="G44" t="str">
        <v>Non</v>
      </c>
      <c r="H44">
        <f>=IF(C44&gt;500,"⚠ Facture &gt; 500 € — à relancer","")</f>
      </c>
      <c r="I44">
        <f>=SUM($C$2:$C$120)-SUMIF($G$2:$G$120,"Oui",$C$2:$C$120)</f>
        <v>0</v>
      </c>
      <c r="J44">
        <f>=IF(I44&gt;500,"⚠ ENVOYER MESSAGE PAIEMENT","")</f>
      </c>
      <c r="K44" t="str">
        <v>Non</v>
      </c>
      <c r="L44" t="str">
        <v/>
      </c>
    </row>
    <row r="45">
      <c r="A45" t="str">
        <v/>
      </c>
      <c r="B45" t="str">
        <v/>
      </c>
      <c r="C45">
        <v>0</v>
      </c>
      <c r="D45">
        <v>0</v>
      </c>
      <c r="E45">
        <f>=SUM($D$2:D45)-SUM($C$2:C45)</f>
        <v>500</v>
      </c>
      <c r="F45">
        <f>=IF(E45&lt;=0,"⚠ SOLDE ÉPUISÉ — faire verser 500 €","")</f>
      </c>
      <c r="G45" t="str">
        <v>Non</v>
      </c>
      <c r="H45">
        <f>=IF(C45&gt;500,"⚠ Facture &gt; 500 € — à relancer","")</f>
      </c>
      <c r="I45">
        <f>=SUM($C$2:$C$120)-SUMIF($G$2:$G$120,"Oui",$C$2:$C$120)</f>
        <v>0</v>
      </c>
      <c r="J45">
        <f>=IF(I45&gt;500,"⚠ ENVOYER MESSAGE PAIEMENT","")</f>
      </c>
      <c r="K45" t="str">
        <v>Non</v>
      </c>
      <c r="L45" t="str">
        <v/>
      </c>
    </row>
    <row r="46">
      <c r="A46" t="str">
        <v/>
      </c>
      <c r="B46" t="str">
        <v/>
      </c>
      <c r="C46">
        <v>0</v>
      </c>
      <c r="D46">
        <v>0</v>
      </c>
      <c r="E46">
        <f>=SUM($D$2:D46)-SUM($C$2:C46)</f>
        <v>500</v>
      </c>
      <c r="F46">
        <f>=IF(E46&lt;=0,"⚠ SOLDE ÉPUISÉ — faire verser 500 €","")</f>
      </c>
      <c r="G46" t="str">
        <v>Non</v>
      </c>
      <c r="H46">
        <f>=IF(C46&gt;500,"⚠ Facture &gt; 500 € — à relancer","")</f>
      </c>
      <c r="I46">
        <f>=SUM($C$2:$C$120)-SUMIF($G$2:$G$120,"Oui",$C$2:$C$120)</f>
        <v>0</v>
      </c>
      <c r="J46">
        <f>=IF(I46&gt;500,"⚠ ENVOYER MESSAGE PAIEMENT","")</f>
      </c>
      <c r="K46" t="str">
        <v>Non</v>
      </c>
      <c r="L46" t="str">
        <v/>
      </c>
    </row>
    <row r="47">
      <c r="A47" t="str">
        <v/>
      </c>
      <c r="B47" t="str">
        <v/>
      </c>
      <c r="C47">
        <v>0</v>
      </c>
      <c r="D47">
        <v>0</v>
      </c>
      <c r="E47">
        <f>=SUM($D$2:D47)-SUM($C$2:C47)</f>
        <v>500</v>
      </c>
      <c r="F47">
        <f>=IF(E47&lt;=0,"⚠ SOLDE ÉPUISÉ — faire verser 500 €","")</f>
      </c>
      <c r="G47" t="str">
        <v>Non</v>
      </c>
      <c r="H47">
        <f>=IF(C47&gt;500,"⚠ Facture &gt; 500 € — à relancer","")</f>
      </c>
      <c r="I47">
        <f>=SUM($C$2:$C$120)-SUMIF($G$2:$G$120,"Oui",$C$2:$C$120)</f>
        <v>0</v>
      </c>
      <c r="J47">
        <f>=IF(I47&gt;500,"⚠ ENVOYER MESSAGE PAIEMENT","")</f>
      </c>
      <c r="K47" t="str">
        <v>Non</v>
      </c>
      <c r="L47" t="str">
        <v/>
      </c>
    </row>
    <row r="48">
      <c r="A48" t="str">
        <v/>
      </c>
      <c r="B48" t="str">
        <v/>
      </c>
      <c r="C48">
        <v>0</v>
      </c>
      <c r="D48">
        <v>0</v>
      </c>
      <c r="E48">
        <f>=SUM($D$2:D48)-SUM($C$2:C48)</f>
        <v>500</v>
      </c>
      <c r="F48">
        <f>=IF(E48&lt;=0,"⚠ SOLDE ÉPUISÉ — faire verser 500 €","")</f>
      </c>
      <c r="G48" t="str">
        <v>Non</v>
      </c>
      <c r="H48">
        <f>=IF(C48&gt;500,"⚠ Facture &gt; 500 € — à relancer","")</f>
      </c>
      <c r="I48">
        <f>=SUM($C$2:$C$120)-SUMIF($G$2:$G$120,"Oui",$C$2:$C$120)</f>
        <v>0</v>
      </c>
      <c r="J48">
        <f>=IF(I48&gt;500,"⚠ ENVOYER MESSAGE PAIEMENT","")</f>
      </c>
      <c r="K48" t="str">
        <v>Non</v>
      </c>
      <c r="L48" t="str">
        <v/>
      </c>
    </row>
    <row r="49">
      <c r="A49" t="str">
        <v/>
      </c>
      <c r="B49" t="str">
        <v/>
      </c>
      <c r="C49">
        <v>0</v>
      </c>
      <c r="D49">
        <v>0</v>
      </c>
      <c r="E49">
        <f>=SUM($D$2:D49)-SUM($C$2:C49)</f>
        <v>500</v>
      </c>
      <c r="F49">
        <f>=IF(E49&lt;=0,"⚠ SOLDE ÉPUISÉ — faire verser 500 €","")</f>
      </c>
      <c r="G49" t="str">
        <v>Non</v>
      </c>
      <c r="H49">
        <f>=IF(C49&gt;500,"⚠ Facture &gt; 500 € — à relancer","")</f>
      </c>
      <c r="I49">
        <f>=SUM($C$2:$C$120)-SUMIF($G$2:$G$120,"Oui",$C$2:$C$120)</f>
        <v>0</v>
      </c>
      <c r="J49">
        <f>=IF(I49&gt;500,"⚠ ENVOYER MESSAGE PAIEMENT","")</f>
      </c>
      <c r="K49" t="str">
        <v>Non</v>
      </c>
      <c r="L49" t="str">
        <v/>
      </c>
    </row>
    <row r="50">
      <c r="A50" t="str">
        <v/>
      </c>
      <c r="B50" t="str">
        <v/>
      </c>
      <c r="C50">
        <v>0</v>
      </c>
      <c r="D50">
        <v>0</v>
      </c>
      <c r="E50">
        <f>=SUM($D$2:D50)-SUM($C$2:C50)</f>
        <v>500</v>
      </c>
      <c r="F50">
        <f>=IF(E50&lt;=0,"⚠ SOLDE ÉPUISÉ — faire verser 500 €","")</f>
      </c>
      <c r="G50" t="str">
        <v>Non</v>
      </c>
      <c r="H50">
        <f>=IF(C50&gt;500,"⚠ Facture &gt; 500 € — à relancer","")</f>
      </c>
      <c r="I50">
        <f>=SUM($C$2:$C$120)-SUMIF($G$2:$G$120,"Oui",$C$2:$C$120)</f>
        <v>0</v>
      </c>
      <c r="J50">
        <f>=IF(I50&gt;500,"⚠ ENVOYER MESSAGE PAIEMENT","")</f>
      </c>
      <c r="K50" t="str">
        <v>Non</v>
      </c>
      <c r="L50" t="str">
        <v/>
      </c>
    </row>
    <row r="51">
      <c r="A51" t="str">
        <v/>
      </c>
      <c r="B51" t="str">
        <v/>
      </c>
      <c r="C51">
        <v>0</v>
      </c>
      <c r="D51">
        <v>0</v>
      </c>
      <c r="E51">
        <f>=SUM($D$2:D51)-SUM($C$2:C51)</f>
        <v>500</v>
      </c>
      <c r="F51">
        <f>=IF(E51&lt;=0,"⚠ SOLDE ÉPUISÉ — faire verser 500 €","")</f>
      </c>
      <c r="G51" t="str">
        <v>Non</v>
      </c>
      <c r="H51">
        <f>=IF(C51&gt;500,"⚠ Facture &gt; 500 € — à relancer","")</f>
      </c>
      <c r="I51">
        <f>=SUM($C$2:$C$120)-SUMIF($G$2:$G$120,"Oui",$C$2:$C$120)</f>
        <v>0</v>
      </c>
      <c r="J51">
        <f>=IF(I51&gt;500,"⚠ ENVOYER MESSAGE PAIEMENT","")</f>
      </c>
      <c r="K51" t="str">
        <v>Non</v>
      </c>
      <c r="L51" t="str">
        <v/>
      </c>
    </row>
    <row r="52">
      <c r="A52" t="str">
        <v/>
      </c>
      <c r="B52" t="str">
        <v/>
      </c>
      <c r="C52">
        <v>0</v>
      </c>
      <c r="D52">
        <v>0</v>
      </c>
      <c r="E52">
        <f>=SUM($D$2:D52)-SUM($C$2:C52)</f>
        <v>500</v>
      </c>
      <c r="F52">
        <f>=IF(E52&lt;=0,"⚠ SOLDE ÉPUISÉ — faire verser 500 €","")</f>
      </c>
      <c r="G52" t="str">
        <v>Non</v>
      </c>
      <c r="H52">
        <f>=IF(C52&gt;500,"⚠ Facture &gt; 500 € — à relancer","")</f>
      </c>
      <c r="I52">
        <f>=SUM($C$2:$C$120)-SUMIF($G$2:$G$120,"Oui",$C$2:$C$120)</f>
        <v>0</v>
      </c>
      <c r="J52">
        <f>=IF(I52&gt;500,"⚠ ENVOYER MESSAGE PAIEMENT","")</f>
      </c>
      <c r="K52" t="str">
        <v>Non</v>
      </c>
      <c r="L52" t="str">
        <v/>
      </c>
    </row>
    <row r="53">
      <c r="A53" t="str">
        <v/>
      </c>
      <c r="B53" t="str">
        <v/>
      </c>
      <c r="C53">
        <v>0</v>
      </c>
      <c r="D53">
        <v>0</v>
      </c>
      <c r="E53">
        <f>=SUM($D$2:D53)-SUM($C$2:C53)</f>
        <v>500</v>
      </c>
      <c r="F53">
        <f>=IF(E53&lt;=0,"⚠ SOLDE ÉPUISÉ — faire verser 500 €","")</f>
      </c>
      <c r="G53" t="str">
        <v>Non</v>
      </c>
      <c r="H53">
        <f>=IF(C53&gt;500,"⚠ Facture &gt; 500 € — à relancer","")</f>
      </c>
      <c r="I53">
        <f>=SUM($C$2:$C$120)-SUMIF($G$2:$G$120,"Oui",$C$2:$C$120)</f>
        <v>0</v>
      </c>
      <c r="J53">
        <f>=IF(I53&gt;500,"⚠ ENVOYER MESSAGE PAIEMENT","")</f>
      </c>
      <c r="K53" t="str">
        <v>Non</v>
      </c>
      <c r="L53" t="str">
        <v/>
      </c>
    </row>
    <row r="54">
      <c r="A54" t="str">
        <v/>
      </c>
      <c r="B54" t="str">
        <v/>
      </c>
      <c r="C54">
        <v>0</v>
      </c>
      <c r="D54">
        <v>0</v>
      </c>
      <c r="E54">
        <f>=SUM($D$2:D54)-SUM($C$2:C54)</f>
        <v>500</v>
      </c>
      <c r="F54">
        <f>=IF(E54&lt;=0,"⚠ SOLDE ÉPUISÉ — faire verser 500 €","")</f>
      </c>
      <c r="G54" t="str">
        <v>Non</v>
      </c>
      <c r="H54">
        <f>=IF(C54&gt;500,"⚠ Facture &gt; 500 € — à relancer","")</f>
      </c>
      <c r="I54">
        <f>=SUM($C$2:$C$120)-SUMIF($G$2:$G$120,"Oui",$C$2:$C$120)</f>
        <v>0</v>
      </c>
      <c r="J54">
        <f>=IF(I54&gt;500,"⚠ ENVOYER MESSAGE PAIEMENT","")</f>
      </c>
      <c r="K54" t="str">
        <v>Non</v>
      </c>
      <c r="L54" t="str">
        <v/>
      </c>
    </row>
    <row r="55">
      <c r="A55" t="str">
        <v/>
      </c>
      <c r="B55" t="str">
        <v/>
      </c>
      <c r="C55">
        <v>0</v>
      </c>
      <c r="D55">
        <v>0</v>
      </c>
      <c r="E55">
        <f>=SUM($D$2:D55)-SUM($C$2:C55)</f>
        <v>500</v>
      </c>
      <c r="F55">
        <f>=IF(E55&lt;=0,"⚠ SOLDE ÉPUISÉ — faire verser 500 €","")</f>
      </c>
      <c r="G55" t="str">
        <v>Non</v>
      </c>
      <c r="H55">
        <f>=IF(C55&gt;500,"⚠ Facture &gt; 500 € — à relancer","")</f>
      </c>
      <c r="I55">
        <f>=SUM($C$2:$C$120)-SUMIF($G$2:$G$120,"Oui",$C$2:$C$120)</f>
        <v>0</v>
      </c>
      <c r="J55">
        <f>=IF(I55&gt;500,"⚠ ENVOYER MESSAGE PAIEMENT","")</f>
      </c>
      <c r="K55" t="str">
        <v>Non</v>
      </c>
      <c r="L55" t="str">
        <v/>
      </c>
    </row>
    <row r="56">
      <c r="A56" t="str">
        <v/>
      </c>
      <c r="B56" t="str">
        <v/>
      </c>
      <c r="C56">
        <v>0</v>
      </c>
      <c r="D56">
        <v>0</v>
      </c>
      <c r="E56">
        <f>=SUM($D$2:D56)-SUM($C$2:C56)</f>
        <v>500</v>
      </c>
      <c r="F56">
        <f>=IF(E56&lt;=0,"⚠ SOLDE ÉPUISÉ — faire verser 500 €","")</f>
      </c>
      <c r="G56" t="str">
        <v>Non</v>
      </c>
      <c r="H56">
        <f>=IF(C56&gt;500,"⚠ Facture &gt; 500 € — à relancer","")</f>
      </c>
      <c r="I56">
        <f>=SUM($C$2:$C$120)-SUMIF($G$2:$G$120,"Oui",$C$2:$C$120)</f>
        <v>0</v>
      </c>
      <c r="J56">
        <f>=IF(I56&gt;500,"⚠ ENVOYER MESSAGE PAIEMENT","")</f>
      </c>
      <c r="K56" t="str">
        <v>Non</v>
      </c>
      <c r="L56" t="str">
        <v/>
      </c>
    </row>
    <row r="57">
      <c r="A57" t="str">
        <v/>
      </c>
      <c r="B57" t="str">
        <v/>
      </c>
      <c r="C57">
        <v>0</v>
      </c>
      <c r="D57">
        <v>0</v>
      </c>
      <c r="E57">
        <f>=SUM($D$2:D57)-SUM($C$2:C57)</f>
        <v>500</v>
      </c>
      <c r="F57">
        <f>=IF(E57&lt;=0,"⚠ SOLDE ÉPUISÉ — faire verser 500 €","")</f>
      </c>
      <c r="G57" t="str">
        <v>Non</v>
      </c>
      <c r="H57">
        <f>=IF(C57&gt;500,"⚠ Facture &gt; 500 € — à relancer","")</f>
      </c>
      <c r="I57">
        <f>=SUM($C$2:$C$120)-SUMIF($G$2:$G$120,"Oui",$C$2:$C$120)</f>
        <v>0</v>
      </c>
      <c r="J57">
        <f>=IF(I57&gt;500,"⚠ ENVOYER MESSAGE PAIEMENT","")</f>
      </c>
      <c r="K57" t="str">
        <v>Non</v>
      </c>
      <c r="L57" t="str">
        <v/>
      </c>
    </row>
    <row r="58">
      <c r="A58" t="str">
        <v/>
      </c>
      <c r="B58" t="str">
        <v/>
      </c>
      <c r="C58">
        <v>0</v>
      </c>
      <c r="D58">
        <v>0</v>
      </c>
      <c r="E58">
        <f>=SUM($D$2:D58)-SUM($C$2:C58)</f>
        <v>500</v>
      </c>
      <c r="F58">
        <f>=IF(E58&lt;=0,"⚠ SOLDE ÉPUISÉ — faire verser 500 €","")</f>
      </c>
      <c r="G58" t="str">
        <v>Non</v>
      </c>
      <c r="H58">
        <f>=IF(C58&gt;500,"⚠ Facture &gt; 500 € — à relancer","")</f>
      </c>
      <c r="I58">
        <f>=SUM($C$2:$C$120)-SUMIF($G$2:$G$120,"Oui",$C$2:$C$120)</f>
        <v>0</v>
      </c>
      <c r="J58">
        <f>=IF(I58&gt;500,"⚠ ENVOYER MESSAGE PAIEMENT","")</f>
      </c>
      <c r="K58" t="str">
        <v>Non</v>
      </c>
      <c r="L58" t="str">
        <v/>
      </c>
    </row>
    <row r="59">
      <c r="A59" t="str">
        <v/>
      </c>
      <c r="B59" t="str">
        <v/>
      </c>
      <c r="C59">
        <v>0</v>
      </c>
      <c r="D59">
        <v>0</v>
      </c>
      <c r="E59">
        <f>=SUM($D$2:D59)-SUM($C$2:C59)</f>
        <v>500</v>
      </c>
      <c r="F59">
        <f>=IF(E59&lt;=0,"⚠ SOLDE ÉPUISÉ — faire verser 500 €","")</f>
      </c>
      <c r="G59" t="str">
        <v>Non</v>
      </c>
      <c r="H59">
        <f>=IF(C59&gt;500,"⚠ Facture &gt; 500 € — à relancer","")</f>
      </c>
      <c r="I59">
        <f>=SUM($C$2:$C$120)-SUMIF($G$2:$G$120,"Oui",$C$2:$C$120)</f>
        <v>0</v>
      </c>
      <c r="J59">
        <f>=IF(I59&gt;500,"⚠ ENVOYER MESSAGE PAIEMENT","")</f>
      </c>
      <c r="K59" t="str">
        <v>Non</v>
      </c>
      <c r="L59" t="str">
        <v/>
      </c>
    </row>
    <row r="60">
      <c r="A60" t="str">
        <v/>
      </c>
      <c r="B60" t="str">
        <v/>
      </c>
      <c r="C60">
        <v>0</v>
      </c>
      <c r="D60">
        <v>0</v>
      </c>
      <c r="E60">
        <f>=SUM($D$2:D60)-SUM($C$2:C60)</f>
        <v>500</v>
      </c>
      <c r="F60">
        <f>=IF(E60&lt;=0,"⚠ SOLDE ÉPUISÉ — faire verser 500 €","")</f>
      </c>
      <c r="G60" t="str">
        <v>Non</v>
      </c>
      <c r="H60">
        <f>=IF(C60&gt;500,"⚠ Facture &gt; 500 € — à relancer","")</f>
      </c>
      <c r="I60">
        <f>=SUM($C$2:$C$120)-SUMIF($G$2:$G$120,"Oui",$C$2:$C$120)</f>
        <v>0</v>
      </c>
      <c r="J60">
        <f>=IF(I60&gt;500,"⚠ ENVOYER MESSAGE PAIEMENT","")</f>
      </c>
      <c r="K60" t="str">
        <v>Non</v>
      </c>
      <c r="L60" t="str">
        <v/>
      </c>
    </row>
    <row r="61">
      <c r="A61" t="str">
        <v/>
      </c>
      <c r="B61" t="str">
        <v/>
      </c>
      <c r="C61">
        <v>0</v>
      </c>
      <c r="D61">
        <v>0</v>
      </c>
      <c r="E61">
        <f>=SUM($D$2:D61)-SUM($C$2:C61)</f>
        <v>500</v>
      </c>
      <c r="F61">
        <f>=IF(E61&lt;=0,"⚠ SOLDE ÉPUISÉ — faire verser 500 €","")</f>
      </c>
      <c r="G61" t="str">
        <v>Non</v>
      </c>
      <c r="H61">
        <f>=IF(C61&gt;500,"⚠ Facture &gt; 500 € — à relancer","")</f>
      </c>
      <c r="I61">
        <f>=SUM($C$2:$C$120)-SUMIF($G$2:$G$120,"Oui",$C$2:$C$120)</f>
        <v>0</v>
      </c>
      <c r="J61">
        <f>=IF(I61&gt;500,"⚠ ENVOYER MESSAGE PAIEMENT","")</f>
      </c>
      <c r="K61" t="str">
        <v>Non</v>
      </c>
      <c r="L61" t="str">
        <v/>
      </c>
    </row>
    <row r="62">
      <c r="A62" t="str">
        <v/>
      </c>
      <c r="B62" t="str">
        <v/>
      </c>
      <c r="C62">
        <v>0</v>
      </c>
      <c r="D62">
        <v>0</v>
      </c>
      <c r="E62">
        <f>=SUM($D$2:D62)-SUM($C$2:C62)</f>
        <v>500</v>
      </c>
      <c r="F62">
        <f>=IF(E62&lt;=0,"⚠ SOLDE ÉPUISÉ — faire verser 500 €","")</f>
      </c>
      <c r="G62" t="str">
        <v>Non</v>
      </c>
      <c r="H62">
        <f>=IF(C62&gt;500,"⚠ Facture &gt; 500 € — à relancer","")</f>
      </c>
      <c r="I62">
        <f>=SUM($C$2:$C$120)-SUMIF($G$2:$G$120,"Oui",$C$2:$C$120)</f>
        <v>0</v>
      </c>
      <c r="J62">
        <f>=IF(I62&gt;500,"⚠ ENVOYER MESSAGE PAIEMENT","")</f>
      </c>
      <c r="K62" t="str">
        <v>Non</v>
      </c>
      <c r="L62" t="str">
        <v/>
      </c>
    </row>
    <row r="63">
      <c r="A63" t="str">
        <v/>
      </c>
      <c r="B63" t="str">
        <v/>
      </c>
      <c r="C63">
        <v>0</v>
      </c>
      <c r="D63">
        <v>0</v>
      </c>
      <c r="E63">
        <f>=SUM($D$2:D63)-SUM($C$2:C63)</f>
        <v>500</v>
      </c>
      <c r="F63">
        <f>=IF(E63&lt;=0,"⚠ SOLDE ÉPUISÉ — faire verser 500 €","")</f>
      </c>
      <c r="G63" t="str">
        <v>Non</v>
      </c>
      <c r="H63">
        <f>=IF(C63&gt;500,"⚠ Facture &gt; 500 € — à relancer","")</f>
      </c>
      <c r="I63">
        <f>=SUM($C$2:$C$120)-SUMIF($G$2:$G$120,"Oui",$C$2:$C$120)</f>
        <v>0</v>
      </c>
      <c r="J63">
        <f>=IF(I63&gt;500,"⚠ ENVOYER MESSAGE PAIEMENT","")</f>
      </c>
      <c r="K63" t="str">
        <v>Non</v>
      </c>
      <c r="L63" t="str">
        <v/>
      </c>
    </row>
    <row r="64">
      <c r="A64" t="str">
        <v/>
      </c>
      <c r="B64" t="str">
        <v/>
      </c>
      <c r="C64">
        <v>0</v>
      </c>
      <c r="D64">
        <v>0</v>
      </c>
      <c r="E64">
        <f>=SUM($D$2:D64)-SUM($C$2:C64)</f>
        <v>500</v>
      </c>
      <c r="F64">
        <f>=IF(E64&lt;=0,"⚠ SOLDE ÉPUISÉ — faire verser 500 €","")</f>
      </c>
      <c r="G64" t="str">
        <v>Non</v>
      </c>
      <c r="H64">
        <f>=IF(C64&gt;500,"⚠ Facture &gt; 500 € — à relancer","")</f>
      </c>
      <c r="I64">
        <f>=SUM($C$2:$C$120)-SUMIF($G$2:$G$120,"Oui",$C$2:$C$120)</f>
        <v>0</v>
      </c>
      <c r="J64">
        <f>=IF(I64&gt;500,"⚠ ENVOYER MESSAGE PAIEMENT","")</f>
      </c>
      <c r="K64" t="str">
        <v>Non</v>
      </c>
      <c r="L64" t="str">
        <v/>
      </c>
    </row>
    <row r="65">
      <c r="A65" t="str">
        <v/>
      </c>
      <c r="B65" t="str">
        <v/>
      </c>
      <c r="C65">
        <v>0</v>
      </c>
      <c r="D65">
        <v>0</v>
      </c>
      <c r="E65">
        <f>=SUM($D$2:D65)-SUM($C$2:C65)</f>
        <v>500</v>
      </c>
      <c r="F65">
        <f>=IF(E65&lt;=0,"⚠ SOLDE ÉPUISÉ — faire verser 500 €","")</f>
      </c>
      <c r="G65" t="str">
        <v>Non</v>
      </c>
      <c r="H65">
        <f>=IF(C65&gt;500,"⚠ Facture &gt; 500 € — à relancer","")</f>
      </c>
      <c r="I65">
        <f>=SUM($C$2:$C$120)-SUMIF($G$2:$G$120,"Oui",$C$2:$C$120)</f>
        <v>0</v>
      </c>
      <c r="J65">
        <f>=IF(I65&gt;500,"⚠ ENVOYER MESSAGE PAIEMENT","")</f>
      </c>
      <c r="K65" t="str">
        <v>Non</v>
      </c>
      <c r="L65" t="str">
        <v/>
      </c>
    </row>
    <row r="66">
      <c r="A66" t="str">
        <v/>
      </c>
      <c r="B66" t="str">
        <v/>
      </c>
      <c r="C66">
        <v>0</v>
      </c>
      <c r="D66">
        <v>0</v>
      </c>
      <c r="E66">
        <f>=SUM($D$2:D66)-SUM($C$2:C66)</f>
        <v>500</v>
      </c>
      <c r="F66">
        <f>=IF(E66&lt;=0,"⚠ SOLDE ÉPUISÉ — faire verser 500 €","")</f>
      </c>
      <c r="G66" t="str">
        <v>Non</v>
      </c>
      <c r="H66">
        <f>=IF(C66&gt;500,"⚠ Facture &gt; 500 € — à relancer","")</f>
      </c>
      <c r="I66">
        <f>=SUM($C$2:$C$120)-SUMIF($G$2:$G$120,"Oui",$C$2:$C$120)</f>
        <v>0</v>
      </c>
      <c r="J66">
        <f>=IF(I66&gt;500,"⚠ ENVOYER MESSAGE PAIEMENT","")</f>
      </c>
      <c r="K66" t="str">
        <v>Non</v>
      </c>
      <c r="L66" t="str">
        <v/>
      </c>
    </row>
    <row r="67">
      <c r="A67" t="str">
        <v/>
      </c>
      <c r="B67" t="str">
        <v/>
      </c>
      <c r="C67">
        <v>0</v>
      </c>
      <c r="D67">
        <v>0</v>
      </c>
      <c r="E67">
        <f>=SUM($D$2:D67)-SUM($C$2:C67)</f>
        <v>500</v>
      </c>
      <c r="F67">
        <f>=IF(E67&lt;=0,"⚠ SOLDE ÉPUISÉ — faire verser 500 €","")</f>
      </c>
      <c r="G67" t="str">
        <v>Non</v>
      </c>
      <c r="H67">
        <f>=IF(C67&gt;500,"⚠ Facture &gt; 500 € — à relancer","")</f>
      </c>
      <c r="I67">
        <f>=SUM($C$2:$C$120)-SUMIF($G$2:$G$120,"Oui",$C$2:$C$120)</f>
        <v>0</v>
      </c>
      <c r="J67">
        <f>=IF(I67&gt;500,"⚠ ENVOYER MESSAGE PAIEMENT","")</f>
      </c>
      <c r="K67" t="str">
        <v>Non</v>
      </c>
      <c r="L67" t="str">
        <v/>
      </c>
    </row>
    <row r="68">
      <c r="A68" t="str">
        <v/>
      </c>
      <c r="B68" t="str">
        <v/>
      </c>
      <c r="C68">
        <v>0</v>
      </c>
      <c r="D68">
        <v>0</v>
      </c>
      <c r="E68">
        <f>=SUM($D$2:D68)-SUM($C$2:C68)</f>
        <v>500</v>
      </c>
      <c r="F68">
        <f>=IF(E68&lt;=0,"⚠ SOLDE ÉPUISÉ — faire verser 500 €","")</f>
      </c>
      <c r="G68" t="str">
        <v>Non</v>
      </c>
      <c r="H68">
        <f>=IF(C68&gt;500,"⚠ Facture &gt; 500 € — à relancer","")</f>
      </c>
      <c r="I68">
        <f>=SUM($C$2:$C$120)-SUMIF($G$2:$G$120,"Oui",$C$2:$C$120)</f>
        <v>0</v>
      </c>
      <c r="J68">
        <f>=IF(I68&gt;500,"⚠ ENVOYER MESSAGE PAIEMENT","")</f>
      </c>
      <c r="K68" t="str">
        <v>Non</v>
      </c>
      <c r="L68" t="str">
        <v/>
      </c>
    </row>
    <row r="69">
      <c r="A69" t="str">
        <v/>
      </c>
      <c r="B69" t="str">
        <v/>
      </c>
      <c r="C69">
        <v>0</v>
      </c>
      <c r="D69">
        <v>0</v>
      </c>
      <c r="E69">
        <f>=SUM($D$2:D69)-SUM($C$2:C69)</f>
        <v>500</v>
      </c>
      <c r="F69">
        <f>=IF(E69&lt;=0,"⚠ SOLDE ÉPUISÉ — faire verser 500 €","")</f>
      </c>
      <c r="G69" t="str">
        <v>Non</v>
      </c>
      <c r="H69">
        <f>=IF(C69&gt;500,"⚠ Facture &gt; 500 € — à relancer","")</f>
      </c>
      <c r="I69">
        <f>=SUM($C$2:$C$120)-SUMIF($G$2:$G$120,"Oui",$C$2:$C$120)</f>
        <v>0</v>
      </c>
      <c r="J69">
        <f>=IF(I69&gt;500,"⚠ ENVOYER MESSAGE PAIEMENT","")</f>
      </c>
      <c r="K69" t="str">
        <v>Non</v>
      </c>
      <c r="L69" t="str">
        <v/>
      </c>
    </row>
    <row r="70">
      <c r="A70" t="str">
        <v/>
      </c>
      <c r="B70" t="str">
        <v/>
      </c>
      <c r="C70">
        <v>0</v>
      </c>
      <c r="D70">
        <v>0</v>
      </c>
      <c r="E70">
        <f>=SUM($D$2:D70)-SUM($C$2:C70)</f>
        <v>500</v>
      </c>
      <c r="F70">
        <f>=IF(E70&lt;=0,"⚠ SOLDE ÉPUISÉ — faire verser 500 €","")</f>
      </c>
      <c r="G70" t="str">
        <v>Non</v>
      </c>
      <c r="H70">
        <f>=IF(C70&gt;500,"⚠ Facture &gt; 500 € — à relancer","")</f>
      </c>
      <c r="I70">
        <f>=SUM($C$2:$C$120)-SUMIF($G$2:$G$120,"Oui",$C$2:$C$120)</f>
        <v>0</v>
      </c>
      <c r="J70">
        <f>=IF(I70&gt;500,"⚠ ENVOYER MESSAGE PAIEMENT","")</f>
      </c>
      <c r="K70" t="str">
        <v>Non</v>
      </c>
      <c r="L70" t="str">
        <v/>
      </c>
    </row>
    <row r="71">
      <c r="A71" t="str">
        <v/>
      </c>
      <c r="B71" t="str">
        <v/>
      </c>
      <c r="C71">
        <v>0</v>
      </c>
      <c r="D71">
        <v>0</v>
      </c>
      <c r="E71">
        <f>=SUM($D$2:D71)-SUM($C$2:C71)</f>
        <v>500</v>
      </c>
      <c r="F71">
        <f>=IF(E71&lt;=0,"⚠ SOLDE ÉPUISÉ — faire verser 500 €","")</f>
      </c>
      <c r="G71" t="str">
        <v>Non</v>
      </c>
      <c r="H71">
        <f>=IF(C71&gt;500,"⚠ Facture &gt; 500 € — à relancer","")</f>
      </c>
      <c r="I71">
        <f>=SUM($C$2:$C$120)-SUMIF($G$2:$G$120,"Oui",$C$2:$C$120)</f>
        <v>0</v>
      </c>
      <c r="J71">
        <f>=IF(I71&gt;500,"⚠ ENVOYER MESSAGE PAIEMENT","")</f>
      </c>
      <c r="K71" t="str">
        <v>Non</v>
      </c>
      <c r="L71" t="str">
        <v/>
      </c>
    </row>
    <row r="72">
      <c r="A72" t="str">
        <v/>
      </c>
      <c r="B72" t="str">
        <v/>
      </c>
      <c r="C72">
        <v>0</v>
      </c>
      <c r="D72">
        <v>0</v>
      </c>
      <c r="E72">
        <f>=SUM($D$2:D72)-SUM($C$2:C72)</f>
        <v>500</v>
      </c>
      <c r="F72">
        <f>=IF(E72&lt;=0,"⚠ SOLDE ÉPUISÉ — faire verser 500 €","")</f>
      </c>
      <c r="G72" t="str">
        <v>Non</v>
      </c>
      <c r="H72">
        <f>=IF(C72&gt;500,"⚠ Facture &gt; 500 € — à relancer","")</f>
      </c>
      <c r="I72">
        <f>=SUM($C$2:$C$120)-SUMIF($G$2:$G$120,"Oui",$C$2:$C$120)</f>
        <v>0</v>
      </c>
      <c r="J72">
        <f>=IF(I72&gt;500,"⚠ ENVOYER MESSAGE PAIEMENT","")</f>
      </c>
      <c r="K72" t="str">
        <v>Non</v>
      </c>
      <c r="L72" t="str">
        <v/>
      </c>
    </row>
    <row r="73">
      <c r="A73" t="str">
        <v/>
      </c>
      <c r="B73" t="str">
        <v/>
      </c>
      <c r="C73">
        <v>0</v>
      </c>
      <c r="D73">
        <v>0</v>
      </c>
      <c r="E73">
        <f>=SUM($D$2:D73)-SUM($C$2:C73)</f>
        <v>500</v>
      </c>
      <c r="F73">
        <f>=IF(E73&lt;=0,"⚠ SOLDE ÉPUISÉ — faire verser 500 €","")</f>
      </c>
      <c r="G73" t="str">
        <v>Non</v>
      </c>
      <c r="H73">
        <f>=IF(C73&gt;500,"⚠ Facture &gt; 500 € — à relancer","")</f>
      </c>
      <c r="I73">
        <f>=SUM($C$2:$C$120)-SUMIF($G$2:$G$120,"Oui",$C$2:$C$120)</f>
        <v>0</v>
      </c>
      <c r="J73">
        <f>=IF(I73&gt;500,"⚠ ENVOYER MESSAGE PAIEMENT","")</f>
      </c>
      <c r="K73" t="str">
        <v>Non</v>
      </c>
      <c r="L73" t="str">
        <v/>
      </c>
    </row>
    <row r="74">
      <c r="A74" t="str">
        <v/>
      </c>
      <c r="B74" t="str">
        <v/>
      </c>
      <c r="C74">
        <v>0</v>
      </c>
      <c r="D74">
        <v>0</v>
      </c>
      <c r="E74">
        <f>=SUM($D$2:D74)-SUM($C$2:C74)</f>
        <v>500</v>
      </c>
      <c r="F74">
        <f>=IF(E74&lt;=0,"⚠ SOLDE ÉPUISÉ — faire verser 500 €","")</f>
      </c>
      <c r="G74" t="str">
        <v>Non</v>
      </c>
      <c r="H74">
        <f>=IF(C74&gt;500,"⚠ Facture &gt; 500 € — à relancer","")</f>
      </c>
      <c r="I74">
        <f>=SUM($C$2:$C$120)-SUMIF($G$2:$G$120,"Oui",$C$2:$C$120)</f>
        <v>0</v>
      </c>
      <c r="J74">
        <f>=IF(I74&gt;500,"⚠ ENVOYER MESSAGE PAIEMENT","")</f>
      </c>
      <c r="K74" t="str">
        <v>Non</v>
      </c>
      <c r="L74" t="str">
        <v/>
      </c>
    </row>
    <row r="75">
      <c r="A75" t="str">
        <v/>
      </c>
      <c r="B75" t="str">
        <v/>
      </c>
      <c r="C75">
        <v>0</v>
      </c>
      <c r="D75">
        <v>0</v>
      </c>
      <c r="E75">
        <f>=SUM($D$2:D75)-SUM($C$2:C75)</f>
        <v>500</v>
      </c>
      <c r="F75">
        <f>=IF(E75&lt;=0,"⚠ SOLDE ÉPUISÉ — faire verser 500 €","")</f>
      </c>
      <c r="G75" t="str">
        <v>Non</v>
      </c>
      <c r="H75">
        <f>=IF(C75&gt;500,"⚠ Facture &gt; 500 € — à relancer","")</f>
      </c>
      <c r="I75">
        <f>=SUM($C$2:$C$120)-SUMIF($G$2:$G$120,"Oui",$C$2:$C$120)</f>
        <v>0</v>
      </c>
      <c r="J75">
        <f>=IF(I75&gt;500,"⚠ ENVOYER MESSAGE PAIEMENT","")</f>
      </c>
      <c r="K75" t="str">
        <v>Non</v>
      </c>
      <c r="L75" t="str">
        <v/>
      </c>
    </row>
    <row r="76">
      <c r="A76" t="str">
        <v/>
      </c>
      <c r="B76" t="str">
        <v/>
      </c>
      <c r="C76">
        <v>0</v>
      </c>
      <c r="D76">
        <v>0</v>
      </c>
      <c r="E76">
        <f>=SUM($D$2:D76)-SUM($C$2:C76)</f>
        <v>500</v>
      </c>
      <c r="F76">
        <f>=IF(E76&lt;=0,"⚠ SOLDE ÉPUISÉ — faire verser 500 €","")</f>
      </c>
      <c r="G76" t="str">
        <v>Non</v>
      </c>
      <c r="H76">
        <f>=IF(C76&gt;500,"⚠ Facture &gt; 500 € — à relancer","")</f>
      </c>
      <c r="I76">
        <f>=SUM($C$2:$C$120)-SUMIF($G$2:$G$120,"Oui",$C$2:$C$120)</f>
        <v>0</v>
      </c>
      <c r="J76">
        <f>=IF(I76&gt;500,"⚠ ENVOYER MESSAGE PAIEMENT","")</f>
      </c>
      <c r="K76" t="str">
        <v>Non</v>
      </c>
      <c r="L76" t="str">
        <v/>
      </c>
    </row>
    <row r="77">
      <c r="A77" t="str">
        <v/>
      </c>
      <c r="B77" t="str">
        <v/>
      </c>
      <c r="C77">
        <v>0</v>
      </c>
      <c r="D77">
        <v>0</v>
      </c>
      <c r="E77">
        <f>=SUM($D$2:D77)-SUM($C$2:C77)</f>
        <v>500</v>
      </c>
      <c r="F77">
        <f>=IF(E77&lt;=0,"⚠ SOLDE ÉPUISÉ — faire verser 500 €","")</f>
      </c>
      <c r="G77" t="str">
        <v>Non</v>
      </c>
      <c r="H77">
        <f>=IF(C77&gt;500,"⚠ Facture &gt; 500 € — à relancer","")</f>
      </c>
      <c r="I77">
        <f>=SUM($C$2:$C$120)-SUMIF($G$2:$G$120,"Oui",$C$2:$C$120)</f>
        <v>0</v>
      </c>
      <c r="J77">
        <f>=IF(I77&gt;500,"⚠ ENVOYER MESSAGE PAIEMENT","")</f>
      </c>
      <c r="K77" t="str">
        <v>Non</v>
      </c>
      <c r="L77" t="str">
        <v/>
      </c>
    </row>
    <row r="78">
      <c r="A78" t="str">
        <v/>
      </c>
      <c r="B78" t="str">
        <v/>
      </c>
      <c r="C78">
        <v>0</v>
      </c>
      <c r="D78">
        <v>0</v>
      </c>
      <c r="E78">
        <f>=SUM($D$2:D78)-SUM($C$2:C78)</f>
        <v>500</v>
      </c>
      <c r="F78">
        <f>=IF(E78&lt;=0,"⚠ SOLDE ÉPUISÉ — faire verser 500 €","")</f>
      </c>
      <c r="G78" t="str">
        <v>Non</v>
      </c>
      <c r="H78">
        <f>=IF(C78&gt;500,"⚠ Facture &gt; 500 € — à relancer","")</f>
      </c>
      <c r="I78">
        <f>=SUM($C$2:$C$120)-SUMIF($G$2:$G$120,"Oui",$C$2:$C$120)</f>
        <v>0</v>
      </c>
      <c r="J78">
        <f>=IF(I78&gt;500,"⚠ ENVOYER MESSAGE PAIEMENT","")</f>
      </c>
      <c r="K78" t="str">
        <v>Non</v>
      </c>
      <c r="L78" t="str">
        <v/>
      </c>
    </row>
    <row r="79">
      <c r="A79" t="str">
        <v/>
      </c>
      <c r="B79" t="str">
        <v/>
      </c>
      <c r="C79">
        <v>0</v>
      </c>
      <c r="D79">
        <v>0</v>
      </c>
      <c r="E79">
        <f>=SUM($D$2:D79)-SUM($C$2:C79)</f>
        <v>500</v>
      </c>
      <c r="F79">
        <f>=IF(E79&lt;=0,"⚠ SOLDE ÉPUISÉ — faire verser 500 €","")</f>
      </c>
      <c r="G79" t="str">
        <v>Non</v>
      </c>
      <c r="H79">
        <f>=IF(C79&gt;500,"⚠ Facture &gt; 500 € — à relancer","")</f>
      </c>
      <c r="I79">
        <f>=SUM($C$2:$C$120)-SUMIF($G$2:$G$120,"Oui",$C$2:$C$120)</f>
        <v>0</v>
      </c>
      <c r="J79">
        <f>=IF(I79&gt;500,"⚠ ENVOYER MESSAGE PAIEMENT","")</f>
      </c>
      <c r="K79" t="str">
        <v>Non</v>
      </c>
      <c r="L79" t="str">
        <v/>
      </c>
    </row>
    <row r="80">
      <c r="A80" t="str">
        <v/>
      </c>
      <c r="B80" t="str">
        <v/>
      </c>
      <c r="C80">
        <v>0</v>
      </c>
      <c r="D80">
        <v>0</v>
      </c>
      <c r="E80">
        <f>=SUM($D$2:D80)-SUM($C$2:C80)</f>
        <v>500</v>
      </c>
      <c r="F80">
        <f>=IF(E80&lt;=0,"⚠ SOLDE ÉPUISÉ — faire verser 500 €","")</f>
      </c>
      <c r="G80" t="str">
        <v>Non</v>
      </c>
      <c r="H80">
        <f>=IF(C80&gt;500,"⚠ Facture &gt; 500 € — à relancer","")</f>
      </c>
      <c r="I80">
        <f>=SUM($C$2:$C$120)-SUMIF($G$2:$G$120,"Oui",$C$2:$C$120)</f>
        <v>0</v>
      </c>
      <c r="J80">
        <f>=IF(I80&gt;500,"⚠ ENVOYER MESSAGE PAIEMENT","")</f>
      </c>
      <c r="K80" t="str">
        <v>Non</v>
      </c>
      <c r="L80" t="str">
        <v/>
      </c>
    </row>
    <row r="81">
      <c r="A81" t="str">
        <v/>
      </c>
      <c r="B81" t="str">
        <v/>
      </c>
      <c r="C81">
        <v>0</v>
      </c>
      <c r="D81">
        <v>0</v>
      </c>
      <c r="E81">
        <f>=SUM($D$2:D81)-SUM($C$2:C81)</f>
        <v>500</v>
      </c>
      <c r="F81">
        <f>=IF(E81&lt;=0,"⚠ SOLDE ÉPUISÉ — faire verser 500 €","")</f>
      </c>
      <c r="G81" t="str">
        <v>Non</v>
      </c>
      <c r="H81">
        <f>=IF(C81&gt;500,"⚠ Facture &gt; 500 € — à relancer","")</f>
      </c>
      <c r="I81">
        <f>=SUM($C$2:$C$120)-SUMIF($G$2:$G$120,"Oui",$C$2:$C$120)</f>
        <v>0</v>
      </c>
      <c r="J81">
        <f>=IF(I81&gt;500,"⚠ ENVOYER MESSAGE PAIEMENT","")</f>
      </c>
      <c r="K81" t="str">
        <v>Non</v>
      </c>
      <c r="L81" t="str">
        <v/>
      </c>
    </row>
    <row r="82">
      <c r="A82" t="str">
        <v/>
      </c>
      <c r="B82" t="str">
        <v/>
      </c>
      <c r="C82">
        <v>0</v>
      </c>
      <c r="D82">
        <v>0</v>
      </c>
      <c r="E82">
        <f>=SUM($D$2:D82)-SUM($C$2:C82)</f>
        <v>500</v>
      </c>
      <c r="F82">
        <f>=IF(E82&lt;=0,"⚠ SOLDE ÉPUISÉ — faire verser 500 €","")</f>
      </c>
      <c r="G82" t="str">
        <v>Non</v>
      </c>
      <c r="H82">
        <f>=IF(C82&gt;500,"⚠ Facture &gt; 500 € — à relancer","")</f>
      </c>
      <c r="I82">
        <f>=SUM($C$2:$C$120)-SUMIF($G$2:$G$120,"Oui",$C$2:$C$120)</f>
        <v>0</v>
      </c>
      <c r="J82">
        <f>=IF(I82&gt;500,"⚠ ENVOYER MESSAGE PAIEMENT","")</f>
      </c>
      <c r="K82" t="str">
        <v>Non</v>
      </c>
      <c r="L82" t="str">
        <v/>
      </c>
    </row>
    <row r="83">
      <c r="A83" t="str">
        <v/>
      </c>
      <c r="B83" t="str">
        <v/>
      </c>
      <c r="C83">
        <v>0</v>
      </c>
      <c r="D83">
        <v>0</v>
      </c>
      <c r="E83">
        <f>=SUM($D$2:D83)-SUM($C$2:C83)</f>
        <v>500</v>
      </c>
      <c r="F83">
        <f>=IF(E83&lt;=0,"⚠ SOLDE ÉPUISÉ — faire verser 500 €","")</f>
      </c>
      <c r="G83" t="str">
        <v>Non</v>
      </c>
      <c r="H83">
        <f>=IF(C83&gt;500,"⚠ Facture &gt; 500 € — à relancer","")</f>
      </c>
      <c r="I83">
        <f>=SUM($C$2:$C$120)-SUMIF($G$2:$G$120,"Oui",$C$2:$C$120)</f>
        <v>0</v>
      </c>
      <c r="J83">
        <f>=IF(I83&gt;500,"⚠ ENVOYER MESSAGE PAIEMENT","")</f>
      </c>
      <c r="K83" t="str">
        <v>Non</v>
      </c>
      <c r="L83" t="str">
        <v/>
      </c>
    </row>
    <row r="84">
      <c r="A84" t="str">
        <v/>
      </c>
      <c r="B84" t="str">
        <v/>
      </c>
      <c r="C84">
        <v>0</v>
      </c>
      <c r="D84">
        <v>0</v>
      </c>
      <c r="E84">
        <f>=SUM($D$2:D84)-SUM($C$2:C84)</f>
        <v>500</v>
      </c>
      <c r="F84">
        <f>=IF(E84&lt;=0,"⚠ SOLDE ÉPUISÉ — faire verser 500 €","")</f>
      </c>
      <c r="G84" t="str">
        <v>Non</v>
      </c>
      <c r="H84">
        <f>=IF(C84&gt;500,"⚠ Facture &gt; 500 € — à relancer","")</f>
      </c>
      <c r="I84">
        <f>=SUM($C$2:$C$120)-SUMIF($G$2:$G$120,"Oui",$C$2:$C$120)</f>
        <v>0</v>
      </c>
      <c r="J84">
        <f>=IF(I84&gt;500,"⚠ ENVOYER MESSAGE PAIEMENT","")</f>
      </c>
      <c r="K84" t="str">
        <v>Non</v>
      </c>
      <c r="L84" t="str">
        <v/>
      </c>
    </row>
    <row r="85">
      <c r="A85" t="str">
        <v/>
      </c>
      <c r="B85" t="str">
        <v/>
      </c>
      <c r="C85">
        <v>0</v>
      </c>
      <c r="D85">
        <v>0</v>
      </c>
      <c r="E85">
        <f>=SUM($D$2:D85)-SUM($C$2:C85)</f>
        <v>500</v>
      </c>
      <c r="F85">
        <f>=IF(E85&lt;=0,"⚠ SOLDE ÉPUISÉ — faire verser 500 €","")</f>
      </c>
      <c r="G85" t="str">
        <v>Non</v>
      </c>
      <c r="H85">
        <f>=IF(C85&gt;500,"⚠ Facture &gt; 500 € — à relancer","")</f>
      </c>
      <c r="I85">
        <f>=SUM($C$2:$C$120)-SUMIF($G$2:$G$120,"Oui",$C$2:$C$120)</f>
        <v>0</v>
      </c>
      <c r="J85">
        <f>=IF(I85&gt;500,"⚠ ENVOYER MESSAGE PAIEMENT","")</f>
      </c>
      <c r="K85" t="str">
        <v>Non</v>
      </c>
      <c r="L85" t="str">
        <v/>
      </c>
    </row>
    <row r="86">
      <c r="A86" t="str">
        <v/>
      </c>
      <c r="B86" t="str">
        <v/>
      </c>
      <c r="C86">
        <v>0</v>
      </c>
      <c r="D86">
        <v>0</v>
      </c>
      <c r="E86">
        <f>=SUM($D$2:D86)-SUM($C$2:C86)</f>
        <v>500</v>
      </c>
      <c r="F86">
        <f>=IF(E86&lt;=0,"⚠ SOLDE ÉPUISÉ — faire verser 500 €","")</f>
      </c>
      <c r="G86" t="str">
        <v>Non</v>
      </c>
      <c r="H86">
        <f>=IF(C86&gt;500,"⚠ Facture &gt; 500 € — à relancer","")</f>
      </c>
      <c r="I86">
        <f>=SUM($C$2:$C$120)-SUMIF($G$2:$G$120,"Oui",$C$2:$C$120)</f>
        <v>0</v>
      </c>
      <c r="J86">
        <f>=IF(I86&gt;500,"⚠ ENVOYER MESSAGE PAIEMENT","")</f>
      </c>
      <c r="K86" t="str">
        <v>Non</v>
      </c>
      <c r="L86" t="str">
        <v/>
      </c>
    </row>
    <row r="87">
      <c r="A87" t="str">
        <v/>
      </c>
      <c r="B87" t="str">
        <v/>
      </c>
      <c r="C87">
        <v>0</v>
      </c>
      <c r="D87">
        <v>0</v>
      </c>
      <c r="E87">
        <f>=SUM($D$2:D87)-SUM($C$2:C87)</f>
        <v>500</v>
      </c>
      <c r="F87">
        <f>=IF(E87&lt;=0,"⚠ SOLDE ÉPUISÉ — faire verser 500 €","")</f>
      </c>
      <c r="G87" t="str">
        <v>Non</v>
      </c>
      <c r="H87">
        <f>=IF(C87&gt;500,"⚠ Facture &gt; 500 € — à relancer","")</f>
      </c>
      <c r="I87">
        <f>=SUM($C$2:$C$120)-SUMIF($G$2:$G$120,"Oui",$C$2:$C$120)</f>
        <v>0</v>
      </c>
      <c r="J87">
        <f>=IF(I87&gt;500,"⚠ ENVOYER MESSAGE PAIEMENT","")</f>
      </c>
      <c r="K87" t="str">
        <v>Non</v>
      </c>
      <c r="L87" t="str">
        <v/>
      </c>
    </row>
    <row r="88">
      <c r="A88" t="str">
        <v/>
      </c>
      <c r="B88" t="str">
        <v/>
      </c>
      <c r="C88">
        <v>0</v>
      </c>
      <c r="D88">
        <v>0</v>
      </c>
      <c r="E88">
        <f>=SUM($D$2:D88)-SUM($C$2:C88)</f>
        <v>500</v>
      </c>
      <c r="F88">
        <f>=IF(E88&lt;=0,"⚠ SOLDE ÉPUISÉ — faire verser 500 €","")</f>
      </c>
      <c r="G88" t="str">
        <v>Non</v>
      </c>
      <c r="H88">
        <f>=IF(C88&gt;500,"⚠ Facture &gt; 500 € — à relancer","")</f>
      </c>
      <c r="I88">
        <f>=SUM($C$2:$C$120)-SUMIF($G$2:$G$120,"Oui",$C$2:$C$120)</f>
        <v>0</v>
      </c>
      <c r="J88">
        <f>=IF(I88&gt;500,"⚠ ENVOYER MESSAGE PAIEMENT","")</f>
      </c>
      <c r="K88" t="str">
        <v>Non</v>
      </c>
      <c r="L88" t="str">
        <v/>
      </c>
    </row>
    <row r="89">
      <c r="A89" t="str">
        <v/>
      </c>
      <c r="B89" t="str">
        <v/>
      </c>
      <c r="C89">
        <v>0</v>
      </c>
      <c r="D89">
        <v>0</v>
      </c>
      <c r="E89">
        <f>=SUM($D$2:D89)-SUM($C$2:C89)</f>
        <v>500</v>
      </c>
      <c r="F89">
        <f>=IF(E89&lt;=0,"⚠ SOLDE ÉPUISÉ — faire verser 500 €","")</f>
      </c>
      <c r="G89" t="str">
        <v>Non</v>
      </c>
      <c r="H89">
        <f>=IF(C89&gt;500,"⚠ Facture &gt; 500 € — à relancer","")</f>
      </c>
      <c r="I89">
        <f>=SUM($C$2:$C$120)-SUMIF($G$2:$G$120,"Oui",$C$2:$C$120)</f>
        <v>0</v>
      </c>
      <c r="J89">
        <f>=IF(I89&gt;500,"⚠ ENVOYER MESSAGE PAIEMENT","")</f>
      </c>
      <c r="K89" t="str">
        <v>Non</v>
      </c>
      <c r="L89" t="str">
        <v/>
      </c>
    </row>
    <row r="90">
      <c r="A90" t="str">
        <v/>
      </c>
      <c r="B90" t="str">
        <v/>
      </c>
      <c r="C90">
        <v>0</v>
      </c>
      <c r="D90">
        <v>0</v>
      </c>
      <c r="E90">
        <f>=SUM($D$2:D90)-SUM($C$2:C90)</f>
        <v>500</v>
      </c>
      <c r="F90">
        <f>=IF(E90&lt;=0,"⚠ SOLDE ÉPUISÉ — faire verser 500 €","")</f>
      </c>
      <c r="G90" t="str">
        <v>Non</v>
      </c>
      <c r="H90">
        <f>=IF(C90&gt;500,"⚠ Facture &gt; 500 € — à relancer","")</f>
      </c>
      <c r="I90">
        <f>=SUM($C$2:$C$120)-SUMIF($G$2:$G$120,"Oui",$C$2:$C$120)</f>
        <v>0</v>
      </c>
      <c r="J90">
        <f>=IF(I90&gt;500,"⚠ ENVOYER MESSAGE PAIEMENT","")</f>
      </c>
      <c r="K90" t="str">
        <v>Non</v>
      </c>
      <c r="L90" t="str">
        <v/>
      </c>
    </row>
    <row r="91">
      <c r="A91" t="str">
        <v/>
      </c>
      <c r="B91" t="str">
        <v/>
      </c>
      <c r="C91">
        <v>0</v>
      </c>
      <c r="D91">
        <v>0</v>
      </c>
      <c r="E91">
        <f>=SUM($D$2:D91)-SUM($C$2:C91)</f>
        <v>500</v>
      </c>
      <c r="F91">
        <f>=IF(E91&lt;=0,"⚠ SOLDE ÉPUISÉ — faire verser 500 €","")</f>
      </c>
      <c r="G91" t="str">
        <v>Non</v>
      </c>
      <c r="H91">
        <f>=IF(C91&gt;500,"⚠ Facture &gt; 500 € — à relancer","")</f>
      </c>
      <c r="I91">
        <f>=SUM($C$2:$C$120)-SUMIF($G$2:$G$120,"Oui",$C$2:$C$120)</f>
        <v>0</v>
      </c>
      <c r="J91">
        <f>=IF(I91&gt;500,"⚠ ENVOYER MESSAGE PAIEMENT","")</f>
      </c>
      <c r="K91" t="str">
        <v>Non</v>
      </c>
      <c r="L91" t="str">
        <v/>
      </c>
    </row>
    <row r="92">
      <c r="A92" t="str">
        <v/>
      </c>
      <c r="B92" t="str">
        <v/>
      </c>
      <c r="C92">
        <v>0</v>
      </c>
      <c r="D92">
        <v>0</v>
      </c>
      <c r="E92">
        <f>=SUM($D$2:D92)-SUM($C$2:C92)</f>
        <v>500</v>
      </c>
      <c r="F92">
        <f>=IF(E92&lt;=0,"⚠ SOLDE ÉPUISÉ — faire verser 500 €","")</f>
      </c>
      <c r="G92" t="str">
        <v>Non</v>
      </c>
      <c r="H92">
        <f>=IF(C92&gt;500,"⚠ Facture &gt; 500 € — à relancer","")</f>
      </c>
      <c r="I92">
        <f>=SUM($C$2:$C$120)-SUMIF($G$2:$G$120,"Oui",$C$2:$C$120)</f>
        <v>0</v>
      </c>
      <c r="J92">
        <f>=IF(I92&gt;500,"⚠ ENVOYER MESSAGE PAIEMENT","")</f>
      </c>
      <c r="K92" t="str">
        <v>Non</v>
      </c>
      <c r="L92" t="str">
        <v/>
      </c>
    </row>
    <row r="93">
      <c r="A93" t="str">
        <v/>
      </c>
      <c r="B93" t="str">
        <v/>
      </c>
      <c r="C93">
        <v>0</v>
      </c>
      <c r="D93">
        <v>0</v>
      </c>
      <c r="E93">
        <f>=SUM($D$2:D93)-SUM($C$2:C93)</f>
        <v>500</v>
      </c>
      <c r="F93">
        <f>=IF(E93&lt;=0,"⚠ SOLDE ÉPUISÉ — faire verser 500 €","")</f>
      </c>
      <c r="G93" t="str">
        <v>Non</v>
      </c>
      <c r="H93">
        <f>=IF(C93&gt;500,"⚠ Facture &gt; 500 € — à relancer","")</f>
      </c>
      <c r="I93">
        <f>=SUM($C$2:$C$120)-SUMIF($G$2:$G$120,"Oui",$C$2:$C$120)</f>
        <v>0</v>
      </c>
      <c r="J93">
        <f>=IF(I93&gt;500,"⚠ ENVOYER MESSAGE PAIEMENT","")</f>
      </c>
      <c r="K93" t="str">
        <v>Non</v>
      </c>
      <c r="L93" t="str">
        <v/>
      </c>
    </row>
    <row r="94">
      <c r="A94" t="str">
        <v/>
      </c>
      <c r="B94" t="str">
        <v/>
      </c>
      <c r="C94">
        <v>0</v>
      </c>
      <c r="D94">
        <v>0</v>
      </c>
      <c r="E94">
        <f>=SUM($D$2:D94)-SUM($C$2:C94)</f>
        <v>500</v>
      </c>
      <c r="F94">
        <f>=IF(E94&lt;=0,"⚠ SOLDE ÉPUISÉ — faire verser 500 €","")</f>
      </c>
      <c r="G94" t="str">
        <v>Non</v>
      </c>
      <c r="H94">
        <f>=IF(C94&gt;500,"⚠ Facture &gt; 500 € — à relancer","")</f>
      </c>
      <c r="I94">
        <f>=SUM($C$2:$C$120)-SUMIF($G$2:$G$120,"Oui",$C$2:$C$120)</f>
        <v>0</v>
      </c>
      <c r="J94">
        <f>=IF(I94&gt;500,"⚠ ENVOYER MESSAGE PAIEMENT","")</f>
      </c>
      <c r="K94" t="str">
        <v>Non</v>
      </c>
      <c r="L94" t="str">
        <v/>
      </c>
    </row>
    <row r="95">
      <c r="A95" t="str">
        <v/>
      </c>
      <c r="B95" t="str">
        <v/>
      </c>
      <c r="C95">
        <v>0</v>
      </c>
      <c r="D95">
        <v>0</v>
      </c>
      <c r="E95">
        <f>=SUM($D$2:D95)-SUM($C$2:C95)</f>
        <v>500</v>
      </c>
      <c r="F95">
        <f>=IF(E95&lt;=0,"⚠ SOLDE ÉPUISÉ — faire verser 500 €","")</f>
      </c>
      <c r="G95" t="str">
        <v>Non</v>
      </c>
      <c r="H95">
        <f>=IF(C95&gt;500,"⚠ Facture &gt; 500 € — à relancer","")</f>
      </c>
      <c r="I95">
        <f>=SUM($C$2:$C$120)-SUMIF($G$2:$G$120,"Oui",$C$2:$C$120)</f>
        <v>0</v>
      </c>
      <c r="J95">
        <f>=IF(I95&gt;500,"⚠ ENVOYER MESSAGE PAIEMENT","")</f>
      </c>
      <c r="K95" t="str">
        <v>Non</v>
      </c>
      <c r="L95" t="str">
        <v/>
      </c>
    </row>
    <row r="96">
      <c r="A96" t="str">
        <v/>
      </c>
      <c r="B96" t="str">
        <v/>
      </c>
      <c r="C96">
        <v>0</v>
      </c>
      <c r="D96">
        <v>0</v>
      </c>
      <c r="E96">
        <f>=SUM($D$2:D96)-SUM($C$2:C96)</f>
        <v>500</v>
      </c>
      <c r="F96">
        <f>=IF(E96&lt;=0,"⚠ SOLDE ÉPUISÉ — faire verser 500 €","")</f>
      </c>
      <c r="G96" t="str">
        <v>Non</v>
      </c>
      <c r="H96">
        <f>=IF(C96&gt;500,"⚠ Facture &gt; 500 € — à relancer","")</f>
      </c>
      <c r="I96">
        <f>=SUM($C$2:$C$120)-SUMIF($G$2:$G$120,"Oui",$C$2:$C$120)</f>
        <v>0</v>
      </c>
      <c r="J96">
        <f>=IF(I96&gt;500,"⚠ ENVOYER MESSAGE PAIEMENT","")</f>
      </c>
      <c r="K96" t="str">
        <v>Non</v>
      </c>
      <c r="L96" t="str">
        <v/>
      </c>
    </row>
    <row r="97">
      <c r="A97" t="str">
        <v/>
      </c>
      <c r="B97" t="str">
        <v/>
      </c>
      <c r="C97">
        <v>0</v>
      </c>
      <c r="D97">
        <v>0</v>
      </c>
      <c r="E97">
        <f>=SUM($D$2:D97)-SUM($C$2:C97)</f>
        <v>500</v>
      </c>
      <c r="F97">
        <f>=IF(E97&lt;=0,"⚠ SOLDE ÉPUISÉ — faire verser 500 €","")</f>
      </c>
      <c r="G97" t="str">
        <v>Non</v>
      </c>
      <c r="H97">
        <f>=IF(C97&gt;500,"⚠ Facture &gt; 500 € — à relancer","")</f>
      </c>
      <c r="I97">
        <f>=SUM($C$2:$C$120)-SUMIF($G$2:$G$120,"Oui",$C$2:$C$120)</f>
        <v>0</v>
      </c>
      <c r="J97">
        <f>=IF(I97&gt;500,"⚠ ENVOYER MESSAGE PAIEMENT","")</f>
      </c>
      <c r="K97" t="str">
        <v>Non</v>
      </c>
      <c r="L97" t="str">
        <v/>
      </c>
    </row>
    <row r="98">
      <c r="A98" t="str">
        <v/>
      </c>
      <c r="B98" t="str">
        <v/>
      </c>
      <c r="C98">
        <v>0</v>
      </c>
      <c r="D98">
        <v>0</v>
      </c>
      <c r="E98">
        <f>=SUM($D$2:D98)-SUM($C$2:C98)</f>
        <v>500</v>
      </c>
      <c r="F98">
        <f>=IF(E98&lt;=0,"⚠ SOLDE ÉPUISÉ — faire verser 500 €","")</f>
      </c>
      <c r="G98" t="str">
        <v>Non</v>
      </c>
      <c r="H98">
        <f>=IF(C98&gt;500,"⚠ Facture &gt; 500 € — à relancer","")</f>
      </c>
      <c r="I98">
        <f>=SUM($C$2:$C$120)-SUMIF($G$2:$G$120,"Oui",$C$2:$C$120)</f>
        <v>0</v>
      </c>
      <c r="J98">
        <f>=IF(I98&gt;500,"⚠ ENVOYER MESSAGE PAIEMENT","")</f>
      </c>
      <c r="K98" t="str">
        <v>Non</v>
      </c>
      <c r="L98" t="str">
        <v/>
      </c>
    </row>
    <row r="99">
      <c r="A99" t="str">
        <v/>
      </c>
      <c r="B99" t="str">
        <v/>
      </c>
      <c r="C99">
        <v>0</v>
      </c>
      <c r="D99">
        <v>0</v>
      </c>
      <c r="E99">
        <f>=SUM($D$2:D99)-SUM($C$2:C99)</f>
        <v>500</v>
      </c>
      <c r="F99">
        <f>=IF(E99&lt;=0,"⚠ SOLDE ÉPUISÉ — faire verser 500 €","")</f>
      </c>
      <c r="G99" t="str">
        <v>Non</v>
      </c>
      <c r="H99">
        <f>=IF(C99&gt;500,"⚠ Facture &gt; 500 € — à relancer","")</f>
      </c>
      <c r="I99">
        <f>=SUM($C$2:$C$120)-SUMIF($G$2:$G$120,"Oui",$C$2:$C$120)</f>
        <v>0</v>
      </c>
      <c r="J99">
        <f>=IF(I99&gt;500,"⚠ ENVOYER MESSAGE PAIEMENT","")</f>
      </c>
      <c r="K99" t="str">
        <v>Non</v>
      </c>
      <c r="L99" t="str">
        <v/>
      </c>
    </row>
    <row r="100">
      <c r="A100" t="str">
        <v/>
      </c>
      <c r="B100" t="str">
        <v/>
      </c>
      <c r="C100">
        <v>0</v>
      </c>
      <c r="D100">
        <v>0</v>
      </c>
      <c r="E100">
        <f>=SUM($D$2:D100)-SUM($C$2:C100)</f>
        <v>500</v>
      </c>
      <c r="F100">
        <f>=IF(E100&lt;=0,"⚠ SOLDE ÉPUISÉ — faire verser 500 €","")</f>
      </c>
      <c r="G100" t="str">
        <v>Non</v>
      </c>
      <c r="H100">
        <f>=IF(C100&gt;500,"⚠ Facture &gt; 500 € — à relancer","")</f>
      </c>
      <c r="I100">
        <f>=SUM($C$2:$C$120)-SUMIF($G$2:$G$120,"Oui",$C$2:$C$120)</f>
        <v>0</v>
      </c>
      <c r="J100">
        <f>=IF(I100&gt;500,"⚠ ENVOYER MESSAGE PAIEMENT","")</f>
      </c>
      <c r="K100" t="str">
        <v>Non</v>
      </c>
      <c r="L100" t="str">
        <v/>
      </c>
    </row>
    <row r="101">
      <c r="A101" t="str">
        <v/>
      </c>
      <c r="B101" t="str">
        <v/>
      </c>
      <c r="C101">
        <v>0</v>
      </c>
      <c r="D101">
        <v>0</v>
      </c>
      <c r="E101">
        <f>=SUM($D$2:D101)-SUM($C$2:C101)</f>
        <v>500</v>
      </c>
      <c r="F101">
        <f>=IF(E101&lt;=0,"⚠ SOLDE ÉPUISÉ — faire verser 500 €","")</f>
      </c>
      <c r="G101" t="str">
        <v>Non</v>
      </c>
      <c r="H101">
        <f>=IF(C101&gt;500,"⚠ Facture &gt; 500 € — à relancer","")</f>
      </c>
      <c r="I101">
        <f>=SUM($C$2:$C$120)-SUMIF($G$2:$G$120,"Oui",$C$2:$C$120)</f>
        <v>0</v>
      </c>
      <c r="J101">
        <f>=IF(I101&gt;500,"⚠ ENVOYER MESSAGE PAIEMENT","")</f>
      </c>
      <c r="K101" t="str">
        <v>Non</v>
      </c>
      <c r="L101" t="str">
        <v/>
      </c>
    </row>
    <row r="102">
      <c r="A102" t="str">
        <v/>
      </c>
      <c r="B102" t="str">
        <v/>
      </c>
      <c r="C102">
        <v>0</v>
      </c>
      <c r="D102">
        <v>0</v>
      </c>
      <c r="E102">
        <f>=SUM($D$2:D102)-SUM($C$2:C102)</f>
        <v>500</v>
      </c>
      <c r="F102">
        <f>=IF(E102&lt;=0,"⚠ SOLDE ÉPUISÉ — faire verser 500 €","")</f>
      </c>
      <c r="G102" t="str">
        <v>Non</v>
      </c>
      <c r="H102">
        <f>=IF(C102&gt;500,"⚠ Facture &gt; 500 € — à relancer","")</f>
      </c>
      <c r="I102">
        <f>=SUM($C$2:$C$120)-SUMIF($G$2:$G$120,"Oui",$C$2:$C$120)</f>
        <v>0</v>
      </c>
      <c r="J102">
        <f>=IF(I102&gt;500,"⚠ ENVOYER MESSAGE PAIEMENT","")</f>
      </c>
      <c r="K102" t="str">
        <v>Non</v>
      </c>
      <c r="L102" t="str">
        <v/>
      </c>
    </row>
    <row r="103">
      <c r="A103" t="str">
        <v/>
      </c>
      <c r="B103" t="str">
        <v/>
      </c>
      <c r="C103">
        <v>0</v>
      </c>
      <c r="D103">
        <v>0</v>
      </c>
      <c r="E103">
        <f>=SUM($D$2:D103)-SUM($C$2:C103)</f>
        <v>500</v>
      </c>
      <c r="F103">
        <f>=IF(E103&lt;=0,"⚠ SOLDE ÉPUISÉ — faire verser 500 €","")</f>
      </c>
      <c r="G103" t="str">
        <v>Non</v>
      </c>
      <c r="H103">
        <f>=IF(C103&gt;500,"⚠ Facture &gt; 500 € — à relancer","")</f>
      </c>
      <c r="I103">
        <f>=SUM($C$2:$C$120)-SUMIF($G$2:$G$120,"Oui",$C$2:$C$120)</f>
        <v>0</v>
      </c>
      <c r="J103">
        <f>=IF(I103&gt;500,"⚠ ENVOYER MESSAGE PAIEMENT","")</f>
      </c>
      <c r="K103" t="str">
        <v>Non</v>
      </c>
      <c r="L103" t="str">
        <v/>
      </c>
    </row>
    <row r="104">
      <c r="A104" t="str">
        <v/>
      </c>
      <c r="B104" t="str">
        <v/>
      </c>
      <c r="C104">
        <v>0</v>
      </c>
      <c r="D104">
        <v>0</v>
      </c>
      <c r="E104">
        <f>=SUM($D$2:D104)-SUM($C$2:C104)</f>
        <v>500</v>
      </c>
      <c r="F104">
        <f>=IF(E104&lt;=0,"⚠ SOLDE ÉPUISÉ — faire verser 500 €","")</f>
      </c>
      <c r="G104" t="str">
        <v>Non</v>
      </c>
      <c r="H104">
        <f>=IF(C104&gt;500,"⚠ Facture &gt; 500 € — à relancer","")</f>
      </c>
      <c r="I104">
        <f>=SUM($C$2:$C$120)-SUMIF($G$2:$G$120,"Oui",$C$2:$C$120)</f>
        <v>0</v>
      </c>
      <c r="J104">
        <f>=IF(I104&gt;500,"⚠ ENVOYER MESSAGE PAIEMENT","")</f>
      </c>
      <c r="K104" t="str">
        <v>Non</v>
      </c>
      <c r="L104" t="str">
        <v/>
      </c>
    </row>
    <row r="105">
      <c r="A105" t="str">
        <v/>
      </c>
      <c r="B105" t="str">
        <v/>
      </c>
      <c r="C105">
        <v>0</v>
      </c>
      <c r="D105">
        <v>0</v>
      </c>
      <c r="E105">
        <f>=SUM($D$2:D105)-SUM($C$2:C105)</f>
        <v>500</v>
      </c>
      <c r="F105">
        <f>=IF(E105&lt;=0,"⚠ SOLDE ÉPUISÉ — faire verser 500 €","")</f>
      </c>
      <c r="G105" t="str">
        <v>Non</v>
      </c>
      <c r="H105">
        <f>=IF(C105&gt;500,"⚠ Facture &gt; 500 € — à relancer","")</f>
      </c>
      <c r="I105">
        <f>=SUM($C$2:$C$120)-SUMIF($G$2:$G$120,"Oui",$C$2:$C$120)</f>
        <v>0</v>
      </c>
      <c r="J105">
        <f>=IF(I105&gt;500,"⚠ ENVOYER MESSAGE PAIEMENT","")</f>
      </c>
      <c r="K105" t="str">
        <v>Non</v>
      </c>
      <c r="L105" t="str">
        <v/>
      </c>
    </row>
    <row r="106">
      <c r="A106" t="str">
        <v/>
      </c>
      <c r="B106" t="str">
        <v/>
      </c>
      <c r="C106">
        <v>0</v>
      </c>
      <c r="D106">
        <v>0</v>
      </c>
      <c r="E106">
        <f>=SUM($D$2:D106)-SUM($C$2:C106)</f>
        <v>500</v>
      </c>
      <c r="F106">
        <f>=IF(E106&lt;=0,"⚠ SOLDE ÉPUISÉ — faire verser 500 €","")</f>
      </c>
      <c r="G106" t="str">
        <v>Non</v>
      </c>
      <c r="H106">
        <f>=IF(C106&gt;500,"⚠ Facture &gt; 500 € — à relancer","")</f>
      </c>
      <c r="I106">
        <f>=SUM($C$2:$C$120)-SUMIF($G$2:$G$120,"Oui",$C$2:$C$120)</f>
        <v>0</v>
      </c>
      <c r="J106">
        <f>=IF(I106&gt;500,"⚠ ENVOYER MESSAGE PAIEMENT","")</f>
      </c>
      <c r="K106" t="str">
        <v>Non</v>
      </c>
      <c r="L106" t="str">
        <v/>
      </c>
    </row>
    <row r="107">
      <c r="A107" t="str">
        <v/>
      </c>
      <c r="B107" t="str">
        <v/>
      </c>
      <c r="C107">
        <v>0</v>
      </c>
      <c r="D107">
        <v>0</v>
      </c>
      <c r="E107">
        <f>=SUM($D$2:D107)-SUM($C$2:C107)</f>
        <v>500</v>
      </c>
      <c r="F107">
        <f>=IF(E107&lt;=0,"⚠ SOLDE ÉPUISÉ — faire verser 500 €","")</f>
      </c>
      <c r="G107" t="str">
        <v>Non</v>
      </c>
      <c r="H107">
        <f>=IF(C107&gt;500,"⚠ Facture &gt; 500 € — à relancer","")</f>
      </c>
      <c r="I107">
        <f>=SUM($C$2:$C$120)-SUMIF($G$2:$G$120,"Oui",$C$2:$C$120)</f>
        <v>0</v>
      </c>
      <c r="J107">
        <f>=IF(I107&gt;500,"⚠ ENVOYER MESSAGE PAIEMENT","")</f>
      </c>
      <c r="K107" t="str">
        <v>Non</v>
      </c>
      <c r="L107" t="str">
        <v/>
      </c>
    </row>
    <row r="108">
      <c r="A108" t="str">
        <v/>
      </c>
      <c r="B108" t="str">
        <v/>
      </c>
      <c r="C108">
        <v>0</v>
      </c>
      <c r="D108">
        <v>0</v>
      </c>
      <c r="E108">
        <f>=SUM($D$2:D108)-SUM($C$2:C108)</f>
        <v>500</v>
      </c>
      <c r="F108">
        <f>=IF(E108&lt;=0,"⚠ SOLDE ÉPUISÉ — faire verser 500 €","")</f>
      </c>
      <c r="G108" t="str">
        <v>Non</v>
      </c>
      <c r="H108">
        <f>=IF(C108&gt;500,"⚠ Facture &gt; 500 € — à relancer","")</f>
      </c>
      <c r="I108">
        <f>=SUM($C$2:$C$120)-SUMIF($G$2:$G$120,"Oui",$C$2:$C$120)</f>
        <v>0</v>
      </c>
      <c r="J108">
        <f>=IF(I108&gt;500,"⚠ ENVOYER MESSAGE PAIEMENT","")</f>
      </c>
      <c r="K108" t="str">
        <v>Non</v>
      </c>
      <c r="L108" t="str">
        <v/>
      </c>
    </row>
    <row r="109">
      <c r="A109" t="str">
        <v/>
      </c>
      <c r="B109" t="str">
        <v/>
      </c>
      <c r="C109">
        <v>0</v>
      </c>
      <c r="D109">
        <v>0</v>
      </c>
      <c r="E109">
        <f>=SUM($D$2:D109)-SUM($C$2:C109)</f>
        <v>500</v>
      </c>
      <c r="F109">
        <f>=IF(E109&lt;=0,"⚠ SOLDE ÉPUISÉ — faire verser 500 €","")</f>
      </c>
      <c r="G109" t="str">
        <v>Non</v>
      </c>
      <c r="H109">
        <f>=IF(C109&gt;500,"⚠ Facture &gt; 500 € — à relancer","")</f>
      </c>
      <c r="I109">
        <f>=SUM($C$2:$C$120)-SUMIF($G$2:$G$120,"Oui",$C$2:$C$120)</f>
        <v>0</v>
      </c>
      <c r="J109">
        <f>=IF(I109&gt;500,"⚠ ENVOYER MESSAGE PAIEMENT","")</f>
      </c>
      <c r="K109" t="str">
        <v>Non</v>
      </c>
      <c r="L109" t="str">
        <v/>
      </c>
    </row>
    <row r="110">
      <c r="A110" t="str">
        <v/>
      </c>
      <c r="B110" t="str">
        <v/>
      </c>
      <c r="C110">
        <v>0</v>
      </c>
      <c r="D110">
        <v>0</v>
      </c>
      <c r="E110">
        <f>=SUM($D$2:D110)-SUM($C$2:C110)</f>
        <v>500</v>
      </c>
      <c r="F110">
        <f>=IF(E110&lt;=0,"⚠ SOLDE ÉPUISÉ — faire verser 500 €","")</f>
      </c>
      <c r="G110" t="str">
        <v>Non</v>
      </c>
      <c r="H110">
        <f>=IF(C110&gt;500,"⚠ Facture &gt; 500 € — à relancer","")</f>
      </c>
      <c r="I110">
        <f>=SUM($C$2:$C$120)-SUMIF($G$2:$G$120,"Oui",$C$2:$C$120)</f>
        <v>0</v>
      </c>
      <c r="J110">
        <f>=IF(I110&gt;500,"⚠ ENVOYER MESSAGE PAIEMENT","")</f>
      </c>
      <c r="K110" t="str">
        <v>Non</v>
      </c>
      <c r="L110" t="str">
        <v/>
      </c>
    </row>
    <row r="111">
      <c r="A111" t="str">
        <v/>
      </c>
      <c r="B111" t="str">
        <v/>
      </c>
      <c r="C111">
        <v>0</v>
      </c>
      <c r="D111">
        <v>0</v>
      </c>
      <c r="E111">
        <f>=SUM($D$2:D111)-SUM($C$2:C111)</f>
        <v>500</v>
      </c>
      <c r="F111">
        <f>=IF(E111&lt;=0,"⚠ SOLDE ÉPUISÉ — faire verser 500 €","")</f>
      </c>
      <c r="G111" t="str">
        <v>Non</v>
      </c>
      <c r="H111">
        <f>=IF(C111&gt;500,"⚠ Facture &gt; 500 € — à relancer","")</f>
      </c>
      <c r="I111">
        <f>=SUM($C$2:$C$120)-SUMIF($G$2:$G$120,"Oui",$C$2:$C$120)</f>
        <v>0</v>
      </c>
      <c r="J111">
        <f>=IF(I111&gt;500,"⚠ ENVOYER MESSAGE PAIEMENT","")</f>
      </c>
      <c r="K111" t="str">
        <v>Non</v>
      </c>
      <c r="L111" t="str">
        <v/>
      </c>
    </row>
    <row r="112">
      <c r="A112" t="str">
        <v/>
      </c>
      <c r="B112" t="str">
        <v/>
      </c>
      <c r="C112">
        <v>0</v>
      </c>
      <c r="D112">
        <v>0</v>
      </c>
      <c r="E112">
        <f>=SUM($D$2:D112)-SUM($C$2:C112)</f>
        <v>500</v>
      </c>
      <c r="F112">
        <f>=IF(E112&lt;=0,"⚠ SOLDE ÉPUISÉ — faire verser 500 €","")</f>
      </c>
      <c r="G112" t="str">
        <v>Non</v>
      </c>
      <c r="H112">
        <f>=IF(C112&gt;500,"⚠ Facture &gt; 500 € — à relancer","")</f>
      </c>
      <c r="I112">
        <f>=SUM($C$2:$C$120)-SUMIF($G$2:$G$120,"Oui",$C$2:$C$120)</f>
        <v>0</v>
      </c>
      <c r="J112">
        <f>=IF(I112&gt;500,"⚠ ENVOYER MESSAGE PAIEMENT","")</f>
      </c>
      <c r="K112" t="str">
        <v>Non</v>
      </c>
      <c r="L112" t="str">
        <v/>
      </c>
    </row>
    <row r="113">
      <c r="A113" t="str">
        <v/>
      </c>
      <c r="B113" t="str">
        <v/>
      </c>
      <c r="C113">
        <v>0</v>
      </c>
      <c r="D113">
        <v>0</v>
      </c>
      <c r="E113">
        <f>=SUM($D$2:D113)-SUM($C$2:C113)</f>
        <v>500</v>
      </c>
      <c r="F113">
        <f>=IF(E113&lt;=0,"⚠ SOLDE ÉPUISÉ — faire verser 500 €","")</f>
      </c>
      <c r="G113" t="str">
        <v>Non</v>
      </c>
      <c r="H113">
        <f>=IF(C113&gt;500,"⚠ Facture &gt; 500 € — à relancer","")</f>
      </c>
      <c r="I113">
        <f>=SUM($C$2:$C$120)-SUMIF($G$2:$G$120,"Oui",$C$2:$C$120)</f>
        <v>0</v>
      </c>
      <c r="J113">
        <f>=IF(I113&gt;500,"⚠ ENVOYER MESSAGE PAIEMENT","")</f>
      </c>
      <c r="K113" t="str">
        <v>Non</v>
      </c>
      <c r="L113" t="str">
        <v/>
      </c>
    </row>
    <row r="114">
      <c r="A114" t="str">
        <v/>
      </c>
      <c r="B114" t="str">
        <v/>
      </c>
      <c r="C114">
        <v>0</v>
      </c>
      <c r="D114">
        <v>0</v>
      </c>
      <c r="E114">
        <f>=SUM($D$2:D114)-SUM($C$2:C114)</f>
        <v>500</v>
      </c>
      <c r="F114">
        <f>=IF(E114&lt;=0,"⚠ SOLDE ÉPUISÉ — faire verser 500 €","")</f>
      </c>
      <c r="G114" t="str">
        <v>Non</v>
      </c>
      <c r="H114">
        <f>=IF(C114&gt;500,"⚠ Facture &gt; 500 € — à relancer","")</f>
      </c>
      <c r="I114">
        <f>=SUM($C$2:$C$120)-SUMIF($G$2:$G$120,"Oui",$C$2:$C$120)</f>
        <v>0</v>
      </c>
      <c r="J114">
        <f>=IF(I114&gt;500,"⚠ ENVOYER MESSAGE PAIEMENT","")</f>
      </c>
      <c r="K114" t="str">
        <v>Non</v>
      </c>
      <c r="L114" t="str">
        <v/>
      </c>
    </row>
    <row r="115">
      <c r="A115" t="str">
        <v/>
      </c>
      <c r="B115" t="str">
        <v/>
      </c>
      <c r="C115">
        <v>0</v>
      </c>
      <c r="D115">
        <v>0</v>
      </c>
      <c r="E115">
        <f>=SUM($D$2:D115)-SUM($C$2:C115)</f>
        <v>500</v>
      </c>
      <c r="F115">
        <f>=IF(E115&lt;=0,"⚠ SOLDE ÉPUISÉ — faire verser 500 €","")</f>
      </c>
      <c r="G115" t="str">
        <v>Non</v>
      </c>
      <c r="H115">
        <f>=IF(C115&gt;500,"⚠ Facture &gt; 500 € — à relancer","")</f>
      </c>
      <c r="I115">
        <f>=SUM($C$2:$C$120)-SUMIF($G$2:$G$120,"Oui",$C$2:$C$120)</f>
        <v>0</v>
      </c>
      <c r="J115">
        <f>=IF(I115&gt;500,"⚠ ENVOYER MESSAGE PAIEMENT","")</f>
      </c>
      <c r="K115" t="str">
        <v>Non</v>
      </c>
      <c r="L115" t="str">
        <v/>
      </c>
    </row>
    <row r="116">
      <c r="A116" t="str">
        <v/>
      </c>
      <c r="B116" t="str">
        <v/>
      </c>
      <c r="C116">
        <v>0</v>
      </c>
      <c r="D116">
        <v>0</v>
      </c>
      <c r="E116">
        <f>=SUM($D$2:D116)-SUM($C$2:C116)</f>
        <v>500</v>
      </c>
      <c r="F116">
        <f>=IF(E116&lt;=0,"⚠ SOLDE ÉPUISÉ — faire verser 500 €","")</f>
      </c>
      <c r="G116" t="str">
        <v>Non</v>
      </c>
      <c r="H116">
        <f>=IF(C116&gt;500,"⚠ Facture &gt; 500 € — à relancer","")</f>
      </c>
      <c r="I116">
        <f>=SUM($C$2:$C$120)-SUMIF($G$2:$G$120,"Oui",$C$2:$C$120)</f>
        <v>0</v>
      </c>
      <c r="J116">
        <f>=IF(I116&gt;500,"⚠ ENVOYER MESSAGE PAIEMENT","")</f>
      </c>
      <c r="K116" t="str">
        <v>Non</v>
      </c>
      <c r="L116" t="str">
        <v/>
      </c>
    </row>
    <row r="117">
      <c r="A117" t="str">
        <v/>
      </c>
      <c r="B117" t="str">
        <v/>
      </c>
      <c r="C117">
        <v>0</v>
      </c>
      <c r="D117">
        <v>0</v>
      </c>
      <c r="E117">
        <f>=SUM($D$2:D117)-SUM($C$2:C117)</f>
        <v>500</v>
      </c>
      <c r="F117">
        <f>=IF(E117&lt;=0,"⚠ SOLDE ÉPUISÉ — faire verser 500 €","")</f>
      </c>
      <c r="G117" t="str">
        <v>Non</v>
      </c>
      <c r="H117">
        <f>=IF(C117&gt;500,"⚠ Facture &gt; 500 € — à relancer","")</f>
      </c>
      <c r="I117">
        <f>=SUM($C$2:$C$120)-SUMIF($G$2:$G$120,"Oui",$C$2:$C$120)</f>
        <v>0</v>
      </c>
      <c r="J117">
        <f>=IF(I117&gt;500,"⚠ ENVOYER MESSAGE PAIEMENT","")</f>
      </c>
      <c r="K117" t="str">
        <v>Non</v>
      </c>
      <c r="L117" t="str">
        <v/>
      </c>
    </row>
    <row r="118">
      <c r="A118" t="str">
        <v/>
      </c>
      <c r="B118" t="str">
        <v/>
      </c>
      <c r="C118">
        <v>0</v>
      </c>
      <c r="D118">
        <v>0</v>
      </c>
      <c r="E118">
        <f>=SUM($D$2:D118)-SUM($C$2:C118)</f>
        <v>500</v>
      </c>
      <c r="F118">
        <f>=IF(E118&lt;=0,"⚠ SOLDE ÉPUISÉ — faire verser 500 €","")</f>
      </c>
      <c r="G118" t="str">
        <v>Non</v>
      </c>
      <c r="H118">
        <f>=IF(C118&gt;500,"⚠ Facture &gt; 500 € — à relancer","")</f>
      </c>
      <c r="I118">
        <f>=SUM($C$2:$C$120)-SUMIF($G$2:$G$120,"Oui",$C$2:$C$120)</f>
        <v>0</v>
      </c>
      <c r="J118">
        <f>=IF(I118&gt;500,"⚠ ENVOYER MESSAGE PAIEMENT","")</f>
      </c>
      <c r="K118" t="str">
        <v>Non</v>
      </c>
      <c r="L118" t="str">
        <v/>
      </c>
    </row>
    <row r="119">
      <c r="A119" t="str">
        <v/>
      </c>
      <c r="B119" t="str">
        <v/>
      </c>
      <c r="C119">
        <v>0</v>
      </c>
      <c r="D119">
        <v>0</v>
      </c>
      <c r="E119">
        <f>=SUM($D$2:D119)-SUM($C$2:C119)</f>
        <v>500</v>
      </c>
      <c r="F119">
        <f>=IF(E119&lt;=0,"⚠ SOLDE ÉPUISÉ — faire verser 500 €","")</f>
      </c>
      <c r="G119" t="str">
        <v>Non</v>
      </c>
      <c r="H119">
        <f>=IF(C119&gt;500,"⚠ Facture &gt; 500 € — à relancer","")</f>
      </c>
      <c r="I119">
        <f>=SUM($C$2:$C$120)-SUMIF($G$2:$G$120,"Oui",$C$2:$C$120)</f>
        <v>0</v>
      </c>
      <c r="J119">
        <f>=IF(I119&gt;500,"⚠ ENVOYER MESSAGE PAIEMENT","")</f>
      </c>
      <c r="K119" t="str">
        <v>Non</v>
      </c>
      <c r="L119" t="str">
        <v/>
      </c>
    </row>
    <row r="120">
      <c r="A120" t="str">
        <v/>
      </c>
      <c r="B120" t="str">
        <v/>
      </c>
      <c r="C120">
        <v>0</v>
      </c>
      <c r="D120">
        <v>0</v>
      </c>
      <c r="E120">
        <f>=SUM($D$2:D120)-SUM($C$2:C120)</f>
        <v>500</v>
      </c>
      <c r="F120">
        <f>=IF(E120&lt;=0,"⚠ SOLDE ÉPUISÉ — faire verser 500 €","")</f>
      </c>
      <c r="G120" t="str">
        <v>Non</v>
      </c>
      <c r="H120">
        <f>=IF(C120&gt;500,"⚠ Facture &gt; 500 € — à relancer","")</f>
      </c>
      <c r="I120">
        <f>=SUM($C$2:$C$120)-SUMIF($G$2:$G$120,"Oui",$C$2:$C$120)</f>
        <v>0</v>
      </c>
      <c r="J120">
        <f>=IF(I120&gt;500,"⚠ ENVOYER MESSAGE PAIEMENT","")</f>
      </c>
      <c r="K120" t="str">
        <v>Non</v>
      </c>
      <c r="L120" t="str">
        <v/>
      </c>
    </row>
  </sheetData>
  <ignoredErrors>
    <ignoredError numberStoredAsText="1" sqref="A1:L12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"/>
  <sheetViews>
    <sheetView workbookViewId="0"/>
  </sheetViews>
  <cols>
    <col min="1" max="1" width="24.83203125" customWidth="1"/>
    <col min="2" max="2" width="16.83203125" customWidth="1"/>
    <col min="3" max="3" width="18.83203125" customWidth="1"/>
    <col min="4" max="4" width="14.83203125" customWidth="1"/>
    <col min="5" max="5" width="14.83203125" customWidth="1"/>
  </cols>
  <sheetData>
    <row r="1">
      <c r="A1" t="str">
        <v>Restaurant</v>
      </c>
      <c r="B1" t="str">
        <v>Solde crédit actuel (€)</v>
      </c>
      <c r="C1" t="str">
        <v>Alerte solde</v>
      </c>
      <c r="D1" t="str">
        <v>Encours impayé (€)</v>
      </c>
      <c r="E1" t="str">
        <v>Alerte encours</v>
      </c>
    </row>
    <row r="2">
      <c r="A2" t="str">
        <v>My French factory</v>
      </c>
      <c r="B2">
        <f>='My French factory'!E13</f>
        <v>500</v>
      </c>
      <c r="C2" t="str">
        <f>=IF(B2&lt;=0,"⚠ RECHARGER 500 €","OK")</f>
        <v>OK</v>
      </c>
      <c r="D2">
        <f>=SUM('My French factory'!$C$2:$C$120)-SUMIF('My French factory'!$G$2:$G$120,"Oui",'My French factory'!$C$2:$C$120)</f>
        <v>0</v>
      </c>
      <c r="E2" t="str">
        <f>=IF(D2&gt;500,"⚠ RELANCER","OK")</f>
        <v>OK</v>
      </c>
    </row>
    <row r="3">
      <c r="A3" t="str">
        <v>My french Cantine</v>
      </c>
      <c r="B3">
        <f>='My french Cantine'!E13</f>
        <v>500</v>
      </c>
      <c r="C3" t="str">
        <f>=IF(B3&lt;=0,"⚠ RECHARGER 500 €","OK")</f>
        <v>OK</v>
      </c>
      <c r="D3">
        <f>=SUM('My french Cantine'!$C$2:$C$120)-SUMIF('My french Cantine'!$G$2:$G$120,"Oui",'My french Cantine'!$C$2:$C$120)</f>
        <v>0</v>
      </c>
      <c r="E3" t="str">
        <f>=IF(D3&gt;500,"⚠ RELANCER","OK")</f>
        <v>OK</v>
      </c>
    </row>
  </sheetData>
  <ignoredErrors>
    <ignoredError numberStoredAsText="1" sqref="A1:E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10"/>
  <sheetViews>
    <sheetView workbookViewId="0"/>
  </sheetViews>
  <sheetData>
    <row r="1">
      <c r="A1" t="str">
        <v>Suivi factures — My French factory · My french Cantine</v>
      </c>
    </row>
    <row r="2">
      <c r="A2" t="str">
        <v/>
      </c>
    </row>
    <row r="3">
      <c r="A3" t="str">
        <v>1. Un onglet par restaurant.</v>
      </c>
    </row>
    <row r="4">
      <c r="A4" t="str">
        <v>2. Colonne C : montant de la facture → solde (E) se met à jour.</v>
      </c>
    </row>
    <row r="5">
      <c r="A5" t="str">
        <v>3. Colonne D : versement client (500 €).</v>
      </c>
    </row>
    <row r="6">
      <c r="A6" t="str">
        <v>4. EXCEL MAC : cliquez « Activer la modification » (bannière jaune).</v>
      </c>
    </row>
    <row r="7">
      <c r="A7" t="str">
        <v>5. Saisissez le montant en C puis Entrée ou Tab.</v>
      </c>
    </row>
    <row r="8">
      <c r="A8" t="str">
        <v>6. Alerte colonne F : solde ≤ 0 → faire verser 500 €.</v>
      </c>
    </row>
    <row r="9">
      <c r="A9" t="str">
        <v>7. Alerte colonne J : encours impayé &gt; 500 € → relancer le restaurant.</v>
      </c>
    </row>
    <row r="10">
      <c r="A10" t="str">
        <v>8. Téléchargez toujours le .xlsx sur casadessert.fr/outils/</v>
      </c>
    </row>
  </sheetData>
  <ignoredErrors>
    <ignoredError numberStoredAsText="1" sqref="A1:A1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My French factory</vt:lpstr>
      <vt:lpstr>My french Cantine</vt:lpstr>
      <vt:lpstr>Synthèse</vt:lpstr>
      <vt:lpstr>Mode emploi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